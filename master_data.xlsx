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b77124ddd0fecb/Desktop/"/>
    </mc:Choice>
  </mc:AlternateContent>
  <xr:revisionPtr revIDLastSave="13" documentId="8_{BDC4ED80-E045-4AB7-905B-E7E32B7D5B12}" xr6:coauthVersionLast="47" xr6:coauthVersionMax="47" xr10:uidLastSave="{4DBBEB8A-BF1C-48AE-B997-8FE945E0B3EB}"/>
  <bookViews>
    <workbookView xWindow="-109" yWindow="-109" windowWidth="26301" windowHeight="14169" activeTab="1" xr2:uid="{2A72ABE4-A907-4689-84EB-F9D7BD684F64}"/>
  </bookViews>
  <sheets>
    <sheet name="製品マスター" sheetId="4" r:id="rId1"/>
    <sheet name="パレットマスター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6" i="4" l="1"/>
  <c r="G176" i="4" s="1"/>
  <c r="F175" i="4"/>
  <c r="G175" i="4" s="1"/>
  <c r="F174" i="4"/>
  <c r="G174" i="4" s="1"/>
  <c r="F173" i="4"/>
  <c r="G173" i="4" s="1"/>
  <c r="F172" i="4"/>
  <c r="G172" i="4" s="1"/>
  <c r="F171" i="4"/>
  <c r="G171" i="4" s="1"/>
  <c r="F170" i="4"/>
  <c r="G170" i="4" s="1"/>
  <c r="F169" i="4"/>
  <c r="G169" i="4" s="1"/>
  <c r="F168" i="4"/>
  <c r="G168" i="4" s="1"/>
  <c r="F167" i="4"/>
  <c r="G167" i="4" s="1"/>
  <c r="F166" i="4"/>
  <c r="G166" i="4" s="1"/>
  <c r="F165" i="4"/>
  <c r="G165" i="4" s="1"/>
  <c r="F164" i="4"/>
  <c r="G164" i="4" s="1"/>
  <c r="F163" i="4"/>
  <c r="G163" i="4" s="1"/>
  <c r="F162" i="4"/>
  <c r="G162" i="4" s="1"/>
  <c r="F161" i="4"/>
  <c r="G161" i="4" s="1"/>
  <c r="F156" i="4"/>
  <c r="G156" i="4" s="1"/>
  <c r="F155" i="4"/>
  <c r="G155" i="4" s="1"/>
  <c r="F154" i="4"/>
  <c r="G154" i="4" s="1"/>
  <c r="F153" i="4"/>
  <c r="G153" i="4" s="1"/>
  <c r="F152" i="4"/>
  <c r="G152" i="4" s="1"/>
  <c r="F151" i="4"/>
  <c r="G151" i="4" s="1"/>
  <c r="F150" i="4"/>
  <c r="G150" i="4" s="1"/>
  <c r="F149" i="4"/>
  <c r="G149" i="4" s="1"/>
  <c r="F148" i="4"/>
  <c r="G148" i="4" s="1"/>
  <c r="F147" i="4"/>
  <c r="G147" i="4" s="1"/>
  <c r="F146" i="4"/>
  <c r="G146" i="4" s="1"/>
  <c r="F145" i="4"/>
  <c r="G145" i="4" s="1"/>
  <c r="F144" i="4"/>
  <c r="G144" i="4" s="1"/>
  <c r="F143" i="4"/>
  <c r="G143" i="4" s="1"/>
  <c r="F142" i="4"/>
  <c r="G142" i="4" s="1"/>
  <c r="F141" i="4"/>
  <c r="G141" i="4" s="1"/>
  <c r="F140" i="4"/>
  <c r="G140" i="4" s="1"/>
  <c r="F139" i="4"/>
  <c r="G139" i="4" s="1"/>
  <c r="F138" i="4"/>
  <c r="G138" i="4" s="1"/>
  <c r="F137" i="4"/>
  <c r="G137" i="4" s="1"/>
  <c r="F136" i="4"/>
  <c r="G136" i="4" s="1"/>
  <c r="F135" i="4"/>
  <c r="G135" i="4" s="1"/>
  <c r="F134" i="4"/>
  <c r="G134" i="4" s="1"/>
  <c r="F133" i="4"/>
  <c r="G133" i="4" s="1"/>
  <c r="F132" i="4"/>
  <c r="G132" i="4" s="1"/>
  <c r="F131" i="4"/>
  <c r="G131" i="4" s="1"/>
  <c r="F130" i="4"/>
  <c r="G130" i="4" s="1"/>
  <c r="F129" i="4"/>
  <c r="G129" i="4" s="1"/>
  <c r="F128" i="4"/>
  <c r="G128" i="4" s="1"/>
  <c r="F127" i="4"/>
  <c r="G127" i="4" s="1"/>
  <c r="F126" i="4"/>
  <c r="G126" i="4" s="1"/>
  <c r="F125" i="4"/>
  <c r="G125" i="4" s="1"/>
  <c r="F124" i="4"/>
  <c r="G124" i="4" s="1"/>
  <c r="F123" i="4"/>
  <c r="G123" i="4" s="1"/>
  <c r="F122" i="4"/>
  <c r="D122" i="4"/>
  <c r="F121" i="4"/>
  <c r="G121" i="4" s="1"/>
  <c r="F120" i="4"/>
  <c r="G120" i="4" s="1"/>
  <c r="F119" i="4"/>
  <c r="G119" i="4" s="1"/>
  <c r="F118" i="4"/>
  <c r="G118" i="4" s="1"/>
  <c r="F117" i="4"/>
  <c r="G117" i="4" s="1"/>
  <c r="F116" i="4"/>
  <c r="G116" i="4" s="1"/>
  <c r="F115" i="4"/>
  <c r="G115" i="4" s="1"/>
  <c r="F114" i="4"/>
  <c r="G114" i="4" s="1"/>
  <c r="F113" i="4"/>
  <c r="G113" i="4" s="1"/>
  <c r="F112" i="4"/>
  <c r="G112" i="4" s="1"/>
  <c r="F111" i="4"/>
  <c r="G111" i="4" s="1"/>
  <c r="F110" i="4"/>
  <c r="G110" i="4" s="1"/>
  <c r="F109" i="4"/>
  <c r="G109" i="4" s="1"/>
  <c r="F108" i="4"/>
  <c r="G108" i="4" s="1"/>
  <c r="F107" i="4"/>
  <c r="G107" i="4" s="1"/>
  <c r="F106" i="4"/>
  <c r="G106" i="4" s="1"/>
  <c r="F105" i="4"/>
  <c r="G105" i="4" s="1"/>
  <c r="F104" i="4"/>
  <c r="G104" i="4" s="1"/>
  <c r="F103" i="4"/>
  <c r="G103" i="4" s="1"/>
  <c r="F102" i="4"/>
  <c r="G102" i="4" s="1"/>
  <c r="F101" i="4"/>
  <c r="G101" i="4" s="1"/>
  <c r="F100" i="4"/>
  <c r="G100" i="4" s="1"/>
  <c r="F99" i="4"/>
  <c r="G99" i="4" s="1"/>
  <c r="F98" i="4"/>
  <c r="G98" i="4" s="1"/>
  <c r="F97" i="4"/>
  <c r="G97" i="4" s="1"/>
  <c r="F96" i="4"/>
  <c r="G96" i="4" s="1"/>
  <c r="F95" i="4"/>
  <c r="G95" i="4" s="1"/>
  <c r="F94" i="4"/>
  <c r="G94" i="4" s="1"/>
  <c r="F93" i="4"/>
  <c r="G93" i="4" s="1"/>
  <c r="F92" i="4"/>
  <c r="G92" i="4" s="1"/>
  <c r="F91" i="4"/>
  <c r="G91" i="4" s="1"/>
  <c r="F90" i="4"/>
  <c r="G90" i="4" s="1"/>
  <c r="F89" i="4"/>
  <c r="G89" i="4" s="1"/>
  <c r="F88" i="4"/>
  <c r="G88" i="4" s="1"/>
  <c r="F87" i="4"/>
  <c r="G87" i="4" s="1"/>
  <c r="F86" i="4"/>
  <c r="G86" i="4" s="1"/>
  <c r="F85" i="4"/>
  <c r="G85" i="4" s="1"/>
  <c r="F84" i="4"/>
  <c r="G84" i="4" s="1"/>
  <c r="F83" i="4"/>
  <c r="G83" i="4" s="1"/>
  <c r="F82" i="4"/>
  <c r="G82" i="4" s="1"/>
  <c r="F80" i="4"/>
  <c r="G80" i="4" s="1"/>
  <c r="F79" i="4"/>
  <c r="G79" i="4" s="1"/>
  <c r="F77" i="4"/>
  <c r="G77" i="4" s="1"/>
  <c r="F74" i="4"/>
  <c r="G74" i="4" s="1"/>
  <c r="F73" i="4"/>
  <c r="G73" i="4" s="1"/>
  <c r="F72" i="4"/>
  <c r="G72" i="4" s="1"/>
  <c r="F71" i="4"/>
  <c r="G71" i="4" s="1"/>
  <c r="F70" i="4"/>
  <c r="G70" i="4" s="1"/>
  <c r="F69" i="4"/>
  <c r="G69" i="4" s="1"/>
  <c r="F68" i="4"/>
  <c r="G68" i="4" s="1"/>
  <c r="F67" i="4"/>
  <c r="G67" i="4" s="1"/>
  <c r="F66" i="4"/>
  <c r="G66" i="4" s="1"/>
  <c r="F65" i="4"/>
  <c r="G65" i="4" s="1"/>
  <c r="F63" i="4"/>
  <c r="G63" i="4" s="1"/>
  <c r="F62" i="4"/>
  <c r="G62" i="4" s="1"/>
  <c r="F61" i="4"/>
  <c r="G61" i="4" s="1"/>
  <c r="F59" i="4"/>
  <c r="G59" i="4" s="1"/>
  <c r="F58" i="4"/>
  <c r="G58" i="4" s="1"/>
  <c r="F57" i="4"/>
  <c r="G57" i="4" s="1"/>
  <c r="F56" i="4"/>
  <c r="G56" i="4" s="1"/>
  <c r="F55" i="4"/>
  <c r="G55" i="4" s="1"/>
  <c r="F54" i="4"/>
  <c r="G54" i="4" s="1"/>
  <c r="F53" i="4"/>
  <c r="G53" i="4" s="1"/>
  <c r="F52" i="4"/>
  <c r="G52" i="4" s="1"/>
  <c r="F51" i="4"/>
  <c r="G51" i="4" s="1"/>
  <c r="F50" i="4"/>
  <c r="G50" i="4" s="1"/>
  <c r="F49" i="4"/>
  <c r="G49" i="4" s="1"/>
  <c r="F48" i="4"/>
  <c r="G48" i="4" s="1"/>
  <c r="F47" i="4"/>
  <c r="G47" i="4" s="1"/>
  <c r="F46" i="4"/>
  <c r="G46" i="4" s="1"/>
  <c r="F45" i="4"/>
  <c r="G45" i="4" s="1"/>
  <c r="F44" i="4"/>
  <c r="G44" i="4" s="1"/>
  <c r="F43" i="4"/>
  <c r="G43" i="4" s="1"/>
  <c r="F42" i="4"/>
  <c r="G42" i="4" s="1"/>
  <c r="F41" i="4"/>
  <c r="G41" i="4" s="1"/>
  <c r="F40" i="4"/>
  <c r="G40" i="4" s="1"/>
  <c r="F39" i="4"/>
  <c r="G39" i="4" s="1"/>
  <c r="F38" i="4"/>
  <c r="G38" i="4" s="1"/>
  <c r="F37" i="4"/>
  <c r="G37" i="4" s="1"/>
  <c r="F36" i="4"/>
  <c r="G36" i="4" s="1"/>
  <c r="F35" i="4"/>
  <c r="G35" i="4" s="1"/>
  <c r="F34" i="4"/>
  <c r="G34" i="4" s="1"/>
  <c r="F33" i="4"/>
  <c r="G33" i="4" s="1"/>
  <c r="F32" i="4"/>
  <c r="G32" i="4" s="1"/>
  <c r="F31" i="4"/>
  <c r="G31" i="4" s="1"/>
  <c r="F30" i="4"/>
  <c r="G30" i="4" s="1"/>
  <c r="F29" i="4"/>
  <c r="G29" i="4" s="1"/>
  <c r="F28" i="4"/>
  <c r="G28" i="4" s="1"/>
  <c r="F27" i="4"/>
  <c r="G27" i="4" s="1"/>
  <c r="F26" i="4"/>
  <c r="G26" i="4" s="1"/>
  <c r="F25" i="4"/>
  <c r="G25" i="4" s="1"/>
  <c r="F24" i="4"/>
  <c r="G24" i="4" s="1"/>
  <c r="F23" i="4"/>
  <c r="G23" i="4" s="1"/>
  <c r="F22" i="4"/>
  <c r="G22" i="4" s="1"/>
  <c r="F21" i="4"/>
  <c r="G21" i="4" s="1"/>
  <c r="F20" i="4"/>
  <c r="G20" i="4" s="1"/>
  <c r="F19" i="4"/>
  <c r="G19" i="4" s="1"/>
  <c r="F17" i="4"/>
  <c r="G17" i="4" s="1"/>
  <c r="F16" i="4"/>
  <c r="G16" i="4" s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F8" i="4"/>
  <c r="G8" i="4" s="1"/>
  <c r="F7" i="4"/>
  <c r="G7" i="4" s="1"/>
  <c r="F6" i="4"/>
  <c r="G6" i="4" s="1"/>
  <c r="F5" i="4"/>
  <c r="G5" i="4" s="1"/>
  <c r="F4" i="4"/>
  <c r="G4" i="4" s="1"/>
  <c r="F3" i="4"/>
  <c r="G3" i="4" s="1"/>
  <c r="F2" i="4"/>
  <c r="G2" i="4" s="1"/>
  <c r="G122" i="4" l="1"/>
</calcChain>
</file>

<file path=xl/sharedStrings.xml><?xml version="1.0" encoding="utf-8"?>
<sst xmlns="http://schemas.openxmlformats.org/spreadsheetml/2006/main" count="532" uniqueCount="365">
  <si>
    <t>図番</t>
  </si>
  <si>
    <t>フラグ</t>
    <phoneticPr fontId="3"/>
  </si>
  <si>
    <t>入り数</t>
    <rPh sb="0" eb="1">
      <t>イ</t>
    </rPh>
    <rPh sb="2" eb="3">
      <t>スウ</t>
    </rPh>
    <phoneticPr fontId="3"/>
  </si>
  <si>
    <t>単重（ｇ）</t>
    <rPh sb="0" eb="1">
      <t>タン</t>
    </rPh>
    <rPh sb="1" eb="2">
      <t>ジュウ</t>
    </rPh>
    <phoneticPr fontId="3"/>
  </si>
  <si>
    <t>(Kｇ）</t>
    <phoneticPr fontId="3"/>
  </si>
  <si>
    <t>1ポリ重量</t>
    <rPh sb="3" eb="5">
      <t>ジュウリョウ</t>
    </rPh>
    <phoneticPr fontId="3"/>
  </si>
  <si>
    <t>ｼﾞｸｳｹ607GSX(ﾎｳｷﾝ) MBS</t>
  </si>
  <si>
    <t>613 4#ﾍﾝｼﾝｼﾞｸｳｹ6:8:11ﾎｳｷﾝJDMﾑｹ</t>
  </si>
  <si>
    <t>AX2847G</t>
  </si>
  <si>
    <t>ｼﾞｸｳｹ606,607,408YSXMBS</t>
  </si>
  <si>
    <t>H</t>
    <phoneticPr fontId="3"/>
  </si>
  <si>
    <t>AP9065G</t>
    <phoneticPr fontId="5"/>
  </si>
  <si>
    <t>ｼﾞｸｳｹ60908-15YSX(ｺﾛ小)MBS</t>
  </si>
  <si>
    <t>ｼﾞｸｳｹ60917GSXｺﾛ小(ﾎｳｷﾝ) MBS</t>
  </si>
  <si>
    <t>AP9084G</t>
  </si>
  <si>
    <t>ｼﾞｸｳｹ60908-15YSX-LB MBS</t>
  </si>
  <si>
    <t>ｼﾞｸｳｹ60921GSX(ﾎｳｷﾝ)ｺﾛ小MBS</t>
  </si>
  <si>
    <t>AP9066G</t>
  </si>
  <si>
    <t>ｼﾞｸｳｹ60917YSX(ｺﾛ小) MBS</t>
  </si>
  <si>
    <t>ｼﾞｸｳｹ6092529GSX(ﾎｳｷﾝ) MBS</t>
  </si>
  <si>
    <t>AP9067G</t>
  </si>
  <si>
    <t>ｼﾞｸｳｹ60921YSX(ｺﾛ小) MBS</t>
  </si>
  <si>
    <t>ｼﾞｸｳｹ60935GSX(ﾎｳｷﾝ) MBS</t>
  </si>
  <si>
    <t>AP9068G</t>
  </si>
  <si>
    <t>ｼﾞｸｳｹ6092529YSX MBS</t>
  </si>
  <si>
    <t>AP9073G</t>
  </si>
  <si>
    <t>ｼﾞｸｳｹ60943GSX(ﾎｳｷﾝ) MBS</t>
  </si>
  <si>
    <t>AP9069G</t>
  </si>
  <si>
    <t>ｼﾞｸｳｹ60935YSX MBS</t>
  </si>
  <si>
    <t>ｼﾞｸｳｹ60959GSX(ﾎｳｷﾝ) MBS</t>
  </si>
  <si>
    <t>AP9070G</t>
  </si>
  <si>
    <t>ｼﾞｸｳｹ60943YSX MBS</t>
  </si>
  <si>
    <t>ｼﾞｸｳｹ60987GSX(ﾎｳｷﾝ) MBS</t>
  </si>
  <si>
    <t>AP9071G</t>
  </si>
  <si>
    <t>ｼﾞｸｳｹ60959YSXMBS</t>
  </si>
  <si>
    <t>ｼﾞｸｳｹ609119GSX(ﾎｳｷﾝ) MBS</t>
  </si>
  <si>
    <t>AP9072G</t>
  </si>
  <si>
    <t>ｼﾞｸｳｹ60987YSX MBS</t>
  </si>
  <si>
    <t>ｼﾞｸｳｹ609119YSX MBS</t>
  </si>
  <si>
    <t>AP9307G</t>
  </si>
  <si>
    <t>ｼﾞｸｳｹ61017YSX</t>
    <phoneticPr fontId="5"/>
  </si>
  <si>
    <t>AP9309G</t>
  </si>
  <si>
    <t>ｼﾞｸｳｹ61043YSX</t>
    <phoneticPr fontId="5"/>
  </si>
  <si>
    <t>AP9305G</t>
  </si>
  <si>
    <t>ｼﾞｸｳｹ610119YSX</t>
    <phoneticPr fontId="5"/>
  </si>
  <si>
    <t>AP9311G</t>
  </si>
  <si>
    <t>ｼﾞｸｳｹ6121115YSX</t>
    <phoneticPr fontId="5"/>
  </si>
  <si>
    <t>AP9313G</t>
  </si>
  <si>
    <t>ｼﾞｸｳｹ6121115YSX-LB</t>
    <phoneticPr fontId="5"/>
  </si>
  <si>
    <t>AQ3858G</t>
  </si>
  <si>
    <t>612# 1/11 15 偏 BRG.(PA46) KJ7</t>
  </si>
  <si>
    <t>AP9314G</t>
  </si>
  <si>
    <t>ｼﾞｸｳｹ6121317YSX</t>
    <phoneticPr fontId="5"/>
  </si>
  <si>
    <t>AP9316G</t>
  </si>
  <si>
    <t>ｼﾞｸｳｹ6122529YSX</t>
    <phoneticPr fontId="5"/>
  </si>
  <si>
    <t>AP9318G</t>
  </si>
  <si>
    <t>ｼﾞｸｳｹ61243YSX</t>
    <phoneticPr fontId="5"/>
  </si>
  <si>
    <t>AP9320G</t>
  </si>
  <si>
    <t>ｼﾞｸｳｹ6125159YSX</t>
    <phoneticPr fontId="5"/>
  </si>
  <si>
    <t>AP9322G</t>
  </si>
  <si>
    <t>ｼﾞｸｳｹ6127187YSX</t>
    <phoneticPr fontId="5"/>
  </si>
  <si>
    <t>AP9324G</t>
    <phoneticPr fontId="5"/>
  </si>
  <si>
    <t>ｼﾞｸｳｹ61406-11YSX</t>
    <phoneticPr fontId="5"/>
  </si>
  <si>
    <t>AP9465G</t>
    <phoneticPr fontId="5"/>
  </si>
  <si>
    <t>ｼﾞｸｳｹ61413-17YSX</t>
    <phoneticPr fontId="5"/>
  </si>
  <si>
    <t>AP9466G</t>
  </si>
  <si>
    <t>ｼﾞｸｳｹ6142125YSX</t>
    <phoneticPr fontId="5"/>
  </si>
  <si>
    <t>AP9467G</t>
  </si>
  <si>
    <t>ｼﾞｸｳｹ6142935YSX</t>
    <phoneticPr fontId="5"/>
  </si>
  <si>
    <t>ｼﾞｸｳｹ35UZ862935S ﾎｳｷﾝ</t>
  </si>
  <si>
    <t>AP9468G</t>
  </si>
  <si>
    <t>ｼﾞｸｳｹ61443-59YSX</t>
    <phoneticPr fontId="5"/>
  </si>
  <si>
    <t>ｼﾞｸｳｹ6164351GSX(ﾎｳｷﾝ)</t>
  </si>
  <si>
    <t>ｼﾞｸｳｹ61611-15GSX ﾎｳｷﾝ</t>
  </si>
  <si>
    <t>AP9469G</t>
  </si>
  <si>
    <t>ｼﾞｸｳｹ6147187YSX</t>
    <phoneticPr fontId="5"/>
  </si>
  <si>
    <t>ｼﾞｸｳｹ61659GSX(ﾎｳｷﾝ)</t>
  </si>
  <si>
    <t>AP9326G</t>
    <phoneticPr fontId="5"/>
  </si>
  <si>
    <t>ｼﾞｸｳｹ6162935YSX</t>
    <phoneticPr fontId="5"/>
  </si>
  <si>
    <t>ｼﾞｸｳｹ61687GSX ﾎｳｷﾝ</t>
  </si>
  <si>
    <t>AP9470G</t>
    <phoneticPr fontId="5"/>
  </si>
  <si>
    <t>ｼﾞｸｳｹ6164351YSX</t>
    <phoneticPr fontId="5"/>
  </si>
  <si>
    <t>AP9471G</t>
  </si>
  <si>
    <t>ｼﾞｸｳｹ61659YSX</t>
    <phoneticPr fontId="5"/>
  </si>
  <si>
    <t>AP9472G</t>
  </si>
  <si>
    <t>ｼﾞｸｳｹ61687YSX</t>
    <phoneticPr fontId="5"/>
  </si>
  <si>
    <r>
      <t>A</t>
    </r>
    <r>
      <rPr>
        <sz val="11"/>
        <color theme="1"/>
        <rFont val="ＭＳ 明朝"/>
        <family val="1"/>
        <charset val="128"/>
      </rPr>
      <t>X3068G</t>
    </r>
    <phoneticPr fontId="5"/>
  </si>
  <si>
    <r>
      <t>ｼﾞｸｳｹ</t>
    </r>
    <r>
      <rPr>
        <sz val="11"/>
        <color theme="1"/>
        <rFont val="ＭＳ 明朝"/>
        <family val="1"/>
        <charset val="128"/>
      </rPr>
      <t>617</t>
    </r>
    <r>
      <rPr>
        <sz val="11"/>
        <rFont val="ＭＳ 明朝"/>
        <family val="1"/>
        <charset val="128"/>
      </rPr>
      <t>Y</t>
    </r>
    <r>
      <rPr>
        <sz val="11"/>
        <color theme="1"/>
        <rFont val="ＭＳ 明朝"/>
        <family val="1"/>
        <charset val="128"/>
      </rPr>
      <t>SX</t>
    </r>
    <phoneticPr fontId="5"/>
  </si>
  <si>
    <r>
      <t>A</t>
    </r>
    <r>
      <rPr>
        <sz val="11"/>
        <color theme="1"/>
        <rFont val="ＭＳ 明朝"/>
        <family val="1"/>
        <charset val="128"/>
      </rPr>
      <t>X3071G</t>
    </r>
    <r>
      <rPr>
        <sz val="11"/>
        <rFont val="ＭＳ Ｐゴシック"/>
        <family val="3"/>
        <charset val="128"/>
      </rPr>
      <t/>
    </r>
  </si>
  <si>
    <r>
      <t>ｼﾞｸｳｹ</t>
    </r>
    <r>
      <rPr>
        <sz val="11"/>
        <color theme="1"/>
        <rFont val="ＭＳ 明朝"/>
        <family val="1"/>
        <charset val="128"/>
      </rPr>
      <t>618</t>
    </r>
    <r>
      <rPr>
        <sz val="11"/>
        <rFont val="ＭＳ 明朝"/>
        <family val="1"/>
        <charset val="128"/>
      </rPr>
      <t>Y</t>
    </r>
    <r>
      <rPr>
        <sz val="11"/>
        <color theme="1"/>
        <rFont val="ＭＳ 明朝"/>
        <family val="1"/>
        <charset val="128"/>
      </rPr>
      <t>SX</t>
    </r>
    <phoneticPr fontId="5"/>
  </si>
  <si>
    <t>ｼﾞｸｳｹ617GSXD (60UZS417DSX)</t>
  </si>
  <si>
    <r>
      <t>A</t>
    </r>
    <r>
      <rPr>
        <sz val="11"/>
        <color theme="1"/>
        <rFont val="ＭＳ 明朝"/>
        <family val="1"/>
        <charset val="128"/>
      </rPr>
      <t>X3074G</t>
    </r>
    <r>
      <rPr>
        <sz val="11"/>
        <rFont val="ＭＳ Ｐゴシック"/>
        <family val="3"/>
        <charset val="128"/>
      </rPr>
      <t/>
    </r>
  </si>
  <si>
    <r>
      <t>ｼﾞｸｳｹ</t>
    </r>
    <r>
      <rPr>
        <sz val="11"/>
        <color theme="1"/>
        <rFont val="ＭＳ 明朝"/>
        <family val="1"/>
        <charset val="128"/>
      </rPr>
      <t>619</t>
    </r>
    <r>
      <rPr>
        <sz val="11"/>
        <rFont val="ＭＳ 明朝"/>
        <family val="1"/>
        <charset val="128"/>
      </rPr>
      <t>Y</t>
    </r>
    <r>
      <rPr>
        <sz val="11"/>
        <color theme="1"/>
        <rFont val="ＭＳ 明朝"/>
        <family val="1"/>
        <charset val="128"/>
      </rPr>
      <t>SX</t>
    </r>
    <phoneticPr fontId="5"/>
  </si>
  <si>
    <r>
      <t>A</t>
    </r>
    <r>
      <rPr>
        <sz val="11"/>
        <color theme="1"/>
        <rFont val="ＭＳ 明朝"/>
        <family val="1"/>
        <charset val="128"/>
      </rPr>
      <t>X3070G</t>
    </r>
    <r>
      <rPr>
        <sz val="11"/>
        <rFont val="ＭＳ Ｐゴシック"/>
        <family val="3"/>
        <charset val="128"/>
      </rPr>
      <t/>
    </r>
  </si>
  <si>
    <r>
      <t>ｼﾞｸｳｹ</t>
    </r>
    <r>
      <rPr>
        <sz val="11"/>
        <color theme="1"/>
        <rFont val="ＭＳ 明朝"/>
        <family val="1"/>
        <charset val="128"/>
      </rPr>
      <t>617</t>
    </r>
    <r>
      <rPr>
        <sz val="11"/>
        <rFont val="ＭＳ 明朝"/>
        <family val="1"/>
        <charset val="128"/>
      </rPr>
      <t>V</t>
    </r>
    <r>
      <rPr>
        <sz val="11"/>
        <color theme="1"/>
        <rFont val="ＭＳ 明朝"/>
        <family val="1"/>
        <charset val="128"/>
      </rPr>
      <t>SX</t>
    </r>
    <phoneticPr fontId="5"/>
  </si>
  <si>
    <t>AX3073G</t>
  </si>
  <si>
    <r>
      <t>ｼﾞｸｳｹ</t>
    </r>
    <r>
      <rPr>
        <sz val="11"/>
        <color theme="1"/>
        <rFont val="ＭＳ 明朝"/>
        <family val="1"/>
        <charset val="128"/>
      </rPr>
      <t>618</t>
    </r>
    <r>
      <rPr>
        <sz val="11"/>
        <rFont val="ＭＳ 明朝"/>
        <family val="1"/>
        <charset val="128"/>
      </rPr>
      <t>V</t>
    </r>
    <r>
      <rPr>
        <sz val="11"/>
        <color theme="1"/>
        <rFont val="ＭＳ 明朝"/>
        <family val="1"/>
        <charset val="128"/>
      </rPr>
      <t>SX</t>
    </r>
    <phoneticPr fontId="5"/>
  </si>
  <si>
    <r>
      <t>A</t>
    </r>
    <r>
      <rPr>
        <sz val="11"/>
        <color theme="1"/>
        <rFont val="ＭＳ 明朝"/>
        <family val="1"/>
        <charset val="128"/>
      </rPr>
      <t>X3076G</t>
    </r>
    <r>
      <rPr>
        <sz val="11"/>
        <rFont val="ＭＳ Ｐゴシック"/>
        <family val="3"/>
        <charset val="128"/>
      </rPr>
      <t/>
    </r>
  </si>
  <si>
    <r>
      <t>ｼﾞｸｳｹ</t>
    </r>
    <r>
      <rPr>
        <sz val="11"/>
        <color theme="1"/>
        <rFont val="ＭＳ 明朝"/>
        <family val="1"/>
        <charset val="128"/>
      </rPr>
      <t>619</t>
    </r>
    <r>
      <rPr>
        <sz val="11"/>
        <rFont val="ＭＳ 明朝"/>
        <family val="1"/>
        <charset val="128"/>
      </rPr>
      <t>V</t>
    </r>
    <r>
      <rPr>
        <sz val="11"/>
        <color theme="1"/>
        <rFont val="ＭＳ 明朝"/>
        <family val="1"/>
        <charset val="128"/>
      </rPr>
      <t>SX</t>
    </r>
    <phoneticPr fontId="5"/>
  </si>
  <si>
    <t>AX2848G</t>
  </si>
  <si>
    <t>AP9074G</t>
  </si>
  <si>
    <t>ｼﾞｸｳｹ60908-15GSXｺﾛ小ﾎｳｷﾝMBS</t>
    <phoneticPr fontId="5"/>
  </si>
  <si>
    <t>AP9075G</t>
  </si>
  <si>
    <t>AP9076G</t>
  </si>
  <si>
    <t>AP9077G</t>
  </si>
  <si>
    <t>AP9078G</t>
  </si>
  <si>
    <t>AP9079G</t>
  </si>
  <si>
    <t>AP9080G</t>
  </si>
  <si>
    <t>AP9081G</t>
  </si>
  <si>
    <t>AP9082G</t>
  </si>
  <si>
    <t>AP9308G</t>
  </si>
  <si>
    <t>ｼﾞｸｳｹ61017GSX(ﾎｳｷﾝ)</t>
    <phoneticPr fontId="5"/>
  </si>
  <si>
    <t>AP9310G</t>
  </si>
  <si>
    <t>ｼﾞｸｳｹ61043GSX(ﾎｳｷﾝ)</t>
    <phoneticPr fontId="5"/>
  </si>
  <si>
    <t>AP9306G</t>
  </si>
  <si>
    <t>ｼﾞｸｳｹ610119GSX(ﾎｳｷﾝ)</t>
    <phoneticPr fontId="5"/>
  </si>
  <si>
    <t>AP9312G</t>
  </si>
  <si>
    <t>ｼﾞｸｳｹ6121115GSX(ﾎｳｷﾝ)</t>
    <phoneticPr fontId="5"/>
  </si>
  <si>
    <t>AP9315G</t>
  </si>
  <si>
    <t>ｼﾞｸｳｹ6121317GSX(ﾎｳｷﾝ)</t>
    <phoneticPr fontId="5"/>
  </si>
  <si>
    <t>AP9317G</t>
  </si>
  <si>
    <t>ｼﾞｸｳｹ6122529GSX(ﾎｳｷﾝ)</t>
    <phoneticPr fontId="5"/>
  </si>
  <si>
    <t>AP9319G</t>
  </si>
  <si>
    <t>ｼﾞｸｳｹ61243GSX(ﾎｳｷﾝ)</t>
    <phoneticPr fontId="5"/>
  </si>
  <si>
    <t>AP9321G</t>
  </si>
  <si>
    <t>ｼﾞｸｳｹ6125159GSX(ﾎｳｷﾝ)</t>
    <phoneticPr fontId="5"/>
  </si>
  <si>
    <t>AP9323G</t>
  </si>
  <si>
    <t>ｼﾞｸｳｹ6127187GSX(ﾎｳｷﾝ)</t>
    <phoneticPr fontId="5"/>
  </si>
  <si>
    <t>AP9325G</t>
    <phoneticPr fontId="5"/>
  </si>
  <si>
    <t>ｼﾞｸｳｹ61406-11GSX(ﾎｳｷﾝ)</t>
    <phoneticPr fontId="5"/>
  </si>
  <si>
    <t>AQ0190G</t>
  </si>
  <si>
    <t>AP9473G</t>
    <phoneticPr fontId="5"/>
  </si>
  <si>
    <t>ｼﾞｸｳｹ61413-17GSX(ﾎｳｷﾝ)</t>
    <phoneticPr fontId="5"/>
  </si>
  <si>
    <t>AP9474G</t>
  </si>
  <si>
    <t>ｼﾞｸｳｹ6142125GSX(ﾎｳｷﾝ)</t>
    <phoneticPr fontId="5"/>
  </si>
  <si>
    <t>AP9475G</t>
  </si>
  <si>
    <t>ｼﾞｸｳｹ6142935GSX(ﾎｳｷﾝ)</t>
    <phoneticPr fontId="5"/>
  </si>
  <si>
    <t>AP4265G-4</t>
  </si>
  <si>
    <t>ｼﾞｸｳｹ6142935GSXD1 U</t>
  </si>
  <si>
    <t>AP9476G</t>
    <phoneticPr fontId="5"/>
  </si>
  <si>
    <t>ｼﾞｸｳｹ61443-59GSX(ﾎｳｷﾝ)</t>
    <phoneticPr fontId="5"/>
  </si>
  <si>
    <t>AP9477G</t>
    <phoneticPr fontId="5"/>
  </si>
  <si>
    <t>ｼﾞｸｳｹ6147187GSX(ﾎｳｷﾝ)</t>
    <phoneticPr fontId="5"/>
  </si>
  <si>
    <t>AP9479G</t>
  </si>
  <si>
    <t>AN0663G-2</t>
  </si>
  <si>
    <t>AP9480G</t>
  </si>
  <si>
    <t>AP9481G</t>
  </si>
  <si>
    <t>AP9427G-6</t>
  </si>
  <si>
    <t>ｼﾞｸｳｹ61659GSXD MBS</t>
  </si>
  <si>
    <t>AP9483G</t>
  </si>
  <si>
    <r>
      <t>A</t>
    </r>
    <r>
      <rPr>
        <sz val="11"/>
        <color theme="1"/>
        <rFont val="ＭＳ 明朝"/>
        <family val="1"/>
        <charset val="128"/>
      </rPr>
      <t>X3069G</t>
    </r>
    <phoneticPr fontId="5"/>
  </si>
  <si>
    <r>
      <t>ｼﾞｸｳｹ</t>
    </r>
    <r>
      <rPr>
        <sz val="11"/>
        <color theme="1"/>
        <rFont val="ＭＳ 明朝"/>
        <family val="1"/>
        <charset val="128"/>
      </rPr>
      <t>617</t>
    </r>
    <r>
      <rPr>
        <sz val="11"/>
        <rFont val="ＭＳ 明朝"/>
        <family val="1"/>
        <charset val="128"/>
      </rPr>
      <t>G</t>
    </r>
    <r>
      <rPr>
        <sz val="11"/>
        <color theme="1"/>
        <rFont val="ＭＳ 明朝"/>
        <family val="1"/>
        <charset val="128"/>
      </rPr>
      <t>SX</t>
    </r>
    <phoneticPr fontId="5"/>
  </si>
  <si>
    <t>AW2819G</t>
  </si>
  <si>
    <t>AX6492G</t>
  </si>
  <si>
    <t>ｼﾞｸｳｹ617YSX MBS C&amp;U ｸﾞﾘｰｽﾌｳﾆｭｳ</t>
  </si>
  <si>
    <r>
      <t>A</t>
    </r>
    <r>
      <rPr>
        <sz val="11"/>
        <color theme="1"/>
        <rFont val="ＭＳ 明朝"/>
        <family val="1"/>
        <charset val="128"/>
      </rPr>
      <t>X3072G</t>
    </r>
    <r>
      <rPr>
        <sz val="11"/>
        <rFont val="ＭＳ Ｐゴシック"/>
        <family val="3"/>
        <charset val="128"/>
      </rPr>
      <t/>
    </r>
    <phoneticPr fontId="3"/>
  </si>
  <si>
    <r>
      <t>ｼﾞｸｳｹ</t>
    </r>
    <r>
      <rPr>
        <sz val="11"/>
        <color theme="1"/>
        <rFont val="ＭＳ 明朝"/>
        <family val="1"/>
        <charset val="128"/>
      </rPr>
      <t>618</t>
    </r>
    <r>
      <rPr>
        <sz val="11"/>
        <rFont val="ＭＳ 明朝"/>
        <family val="1"/>
        <charset val="128"/>
      </rPr>
      <t>G</t>
    </r>
    <r>
      <rPr>
        <sz val="11"/>
        <color theme="1"/>
        <rFont val="ＭＳ 明朝"/>
        <family val="1"/>
        <charset val="128"/>
      </rPr>
      <t>SX</t>
    </r>
    <phoneticPr fontId="5"/>
  </si>
  <si>
    <t>AW2823G</t>
  </si>
  <si>
    <r>
      <t>ｼﾞｸｳｹ</t>
    </r>
    <r>
      <rPr>
        <sz val="11"/>
        <color theme="1"/>
        <rFont val="ＭＳ 明朝"/>
        <family val="1"/>
        <charset val="128"/>
      </rPr>
      <t>618</t>
    </r>
    <r>
      <rPr>
        <sz val="11"/>
        <rFont val="ＭＳ 明朝"/>
        <family val="1"/>
        <charset val="128"/>
      </rPr>
      <t>G</t>
    </r>
    <r>
      <rPr>
        <sz val="11"/>
        <color theme="1"/>
        <rFont val="ＭＳ 明朝"/>
        <family val="1"/>
        <charset val="128"/>
      </rPr>
      <t>SXD</t>
    </r>
    <phoneticPr fontId="5"/>
  </si>
  <si>
    <t>AQ2830G</t>
  </si>
  <si>
    <t>ｼﾞｸｳｹ618GEX-S ﾎｳｷﾝ ﾄｸﾈﾂ</t>
  </si>
  <si>
    <r>
      <t>A</t>
    </r>
    <r>
      <rPr>
        <sz val="11"/>
        <color theme="1"/>
        <rFont val="ＭＳ 明朝"/>
        <family val="1"/>
        <charset val="128"/>
      </rPr>
      <t>X3075G</t>
    </r>
    <r>
      <rPr>
        <sz val="11"/>
        <rFont val="ＭＳ Ｐゴシック"/>
        <family val="3"/>
        <charset val="128"/>
      </rPr>
      <t/>
    </r>
  </si>
  <si>
    <r>
      <t>ｼﾞｸｳｹ</t>
    </r>
    <r>
      <rPr>
        <sz val="11"/>
        <color theme="1"/>
        <rFont val="ＭＳ 明朝"/>
        <family val="1"/>
        <charset val="128"/>
      </rPr>
      <t>619</t>
    </r>
    <r>
      <rPr>
        <sz val="11"/>
        <rFont val="ＭＳ 明朝"/>
        <family val="1"/>
        <charset val="128"/>
      </rPr>
      <t>G</t>
    </r>
    <r>
      <rPr>
        <sz val="11"/>
        <color theme="1"/>
        <rFont val="ＭＳ 明朝"/>
        <family val="1"/>
        <charset val="128"/>
      </rPr>
      <t>SX</t>
    </r>
    <phoneticPr fontId="5"/>
  </si>
  <si>
    <t>AW2827G</t>
    <phoneticPr fontId="3"/>
  </si>
  <si>
    <r>
      <t>ｼﾞｸｳｹ</t>
    </r>
    <r>
      <rPr>
        <sz val="11"/>
        <color theme="1"/>
        <rFont val="ＭＳ 明朝"/>
        <family val="1"/>
        <charset val="128"/>
      </rPr>
      <t>619</t>
    </r>
    <r>
      <rPr>
        <sz val="11"/>
        <rFont val="ＭＳ 明朝"/>
        <family val="1"/>
        <charset val="128"/>
      </rPr>
      <t>G</t>
    </r>
    <r>
      <rPr>
        <sz val="11"/>
        <color theme="1"/>
        <rFont val="ＭＳ 明朝"/>
        <family val="1"/>
        <charset val="128"/>
      </rPr>
      <t>SXD</t>
    </r>
    <phoneticPr fontId="5"/>
  </si>
  <si>
    <t>AX6291G</t>
  </si>
  <si>
    <t>ｼﾞｸｳｹ619GEX-S ﾎｳｷﾝ ﾄｸﾈﾂ</t>
  </si>
  <si>
    <t>AP6596G</t>
  </si>
  <si>
    <t>D15 主軸受外輪</t>
  </si>
  <si>
    <t>F</t>
    <phoneticPr fontId="3"/>
  </si>
  <si>
    <t>AP6591G</t>
  </si>
  <si>
    <t>D25 主軸受外輪</t>
  </si>
  <si>
    <t>F</t>
  </si>
  <si>
    <t>AP6840G</t>
  </si>
  <si>
    <t>D30/UA35 主軸受外輪</t>
  </si>
  <si>
    <t>AP7196G</t>
  </si>
  <si>
    <t>D35/F4C-C25 主軸受外輪</t>
  </si>
  <si>
    <t>AP7810G</t>
  </si>
  <si>
    <t>D45/U45/F4C-C35 主軸受外輪</t>
  </si>
  <si>
    <t>AP8772G</t>
  </si>
  <si>
    <t>UA45 主軸受外輪</t>
  </si>
  <si>
    <t>AQ0080G</t>
  </si>
  <si>
    <t>UA25    主軸受外輪</t>
  </si>
  <si>
    <t>AQ4969G</t>
  </si>
  <si>
    <t>D25/F4C-C15  主軸受外輪</t>
  </si>
  <si>
    <t>AQ4970G</t>
  </si>
  <si>
    <t>AQ4968G</t>
  </si>
  <si>
    <t>D15/UA15 主軸受外輪</t>
  </si>
  <si>
    <t>AQ2624G</t>
  </si>
  <si>
    <t>F4C-C45  主軸受外輪</t>
  </si>
  <si>
    <t>TQ5357G-0</t>
  </si>
  <si>
    <t>ｺﾛｼﾞｸｳｹ FXQ10-0  偏心軸受</t>
  </si>
  <si>
    <t>DA</t>
  </si>
  <si>
    <t>TQ5357G-1</t>
  </si>
  <si>
    <t>ｺﾛｼﾞｸｳｹ FXQ10-1 偏心軸受</t>
  </si>
  <si>
    <t>TQ5357G-2</t>
  </si>
  <si>
    <t>ｺﾛｼﾞｸｳｹ FXQ10-2  偏心軸受</t>
  </si>
  <si>
    <t>TQ5357G-3</t>
  </si>
  <si>
    <t>ｺﾛｼﾞｸｳｹ FXQ10-3 偏心軸受</t>
  </si>
  <si>
    <t>AQ4826G-0</t>
  </si>
  <si>
    <t>ｺﾛｼﾞｸｳｹ DA10-0  偏心軸受</t>
  </si>
  <si>
    <t>AQ4826G-1</t>
  </si>
  <si>
    <t>ｺﾛｼﾞｸｳｹ DA10-1 偏心軸受</t>
  </si>
  <si>
    <t>AQ4826G-2</t>
  </si>
  <si>
    <t>ｺﾛｼﾞｸｳｹ DA10-2  偏心軸受</t>
  </si>
  <si>
    <t>AQ4826G-3</t>
  </si>
  <si>
    <t>ｺﾛｼﾞｸｳｹ DA10-3 偏心軸受</t>
  </si>
  <si>
    <t>AQ3116G-0</t>
  </si>
  <si>
    <t>ｺﾛｼﾞｸｳｹ DA15-0  偏心軸受</t>
  </si>
  <si>
    <t>AQ3116G-1</t>
  </si>
  <si>
    <t>ｺﾛｼﾞｸｳｹ DA15-1  偏心軸受</t>
  </si>
  <si>
    <t>DA</t>
    <phoneticPr fontId="3"/>
  </si>
  <si>
    <t>AQ3116G-2</t>
  </si>
  <si>
    <t>ｺﾛｼﾞｸｳｹ DA15-2  偏心軸受</t>
  </si>
  <si>
    <t>AQ3116G-3</t>
  </si>
  <si>
    <t>ｺﾛｼﾞｸｳｹ DA15-3  偏心軸受</t>
  </si>
  <si>
    <t>AQ3117G-0</t>
  </si>
  <si>
    <t>ｺﾛｼﾞｸｳｹ DA25-0  偏心軸受</t>
  </si>
  <si>
    <t>AQ3117G-1</t>
  </si>
  <si>
    <t>ｺﾛｼﾞｸｳｹ DA25-1  偏心軸受</t>
  </si>
  <si>
    <t>AQ3117G-2</t>
  </si>
  <si>
    <t>ｺﾛｼﾞｸｳｹ DA25-2  偏心軸受</t>
  </si>
  <si>
    <t>AQ3117G-3</t>
  </si>
  <si>
    <t>ｺﾛｼﾞｸｳｹ DA25-3  偏心軸受</t>
  </si>
  <si>
    <t>AQ3118G-0</t>
  </si>
  <si>
    <t>ｺﾛｼﾞｸｳｹ DA35-0  偏心軸受</t>
  </si>
  <si>
    <t>AQ3118G-1</t>
  </si>
  <si>
    <t>ｺﾛｼﾞｸｳｹ DA35-1  偏心軸受</t>
  </si>
  <si>
    <t>AQ4827G</t>
  </si>
  <si>
    <t>AQ3118G-2</t>
  </si>
  <si>
    <t>ｺﾛｼﾞｸｳｹ DA35-2  偏心軸受</t>
  </si>
  <si>
    <t>AQ3118G-3</t>
  </si>
  <si>
    <t>ｺﾛｼﾞｸｳｹ DA35-3  偏心軸受</t>
  </si>
  <si>
    <t>AQ3119G-0</t>
  </si>
  <si>
    <t>ｺﾛｼﾞｸｳｹ DA40-0  偏心軸受</t>
  </si>
  <si>
    <t>AQ3361G</t>
  </si>
  <si>
    <t>AQ3119G-1</t>
  </si>
  <si>
    <t>ｺﾛｼﾞｸｳｹ DA40-1  偏心軸受</t>
  </si>
  <si>
    <t>AQ3362G</t>
  </si>
  <si>
    <t>AQ3119G-2</t>
  </si>
  <si>
    <t>ｺﾛｼﾞｸｳｹ DA40-2  偏心軸受</t>
  </si>
  <si>
    <t>AQ4754G</t>
    <phoneticPr fontId="3"/>
  </si>
  <si>
    <t>AQ3119G-3</t>
  </si>
  <si>
    <t>ｺﾛｼﾞｸｳｹ DA40-3  偏心軸受</t>
  </si>
  <si>
    <t>AQ3120G-0</t>
  </si>
  <si>
    <t>ｺﾛｼﾞｸｳｹ DA45-0  偏心軸受</t>
  </si>
  <si>
    <t>AQ3120G-1</t>
  </si>
  <si>
    <t>ｺﾛｼﾞｸｳｹ DA45-1  偏心軸受</t>
  </si>
  <si>
    <t>AQ3120G-2</t>
  </si>
  <si>
    <t>ｺﾛｼﾞｸｳｹ DA45-2  偏心軸受</t>
  </si>
  <si>
    <t>AQ3120G-3</t>
  </si>
  <si>
    <t>ｺﾛｼﾞｸｳｹ DA45-3  偏心軸受</t>
  </si>
  <si>
    <t>TQ5385G</t>
  </si>
  <si>
    <t>FXQ10 主軸受</t>
  </si>
  <si>
    <t>DAG</t>
  </si>
  <si>
    <t>DA10 主軸受</t>
  </si>
  <si>
    <t>DAG</t>
    <phoneticPr fontId="3"/>
  </si>
  <si>
    <t>AQ3359G</t>
  </si>
  <si>
    <t>DA15  主軸受</t>
  </si>
  <si>
    <t>AQ4750G</t>
  </si>
  <si>
    <t>AQ3360G</t>
  </si>
  <si>
    <t>DA25  主軸受</t>
  </si>
  <si>
    <t>AQ4751G</t>
  </si>
  <si>
    <t>DA35  主軸受</t>
  </si>
  <si>
    <t>AQ4752G</t>
  </si>
  <si>
    <t>DA40  主軸受</t>
  </si>
  <si>
    <t>AQ4753G</t>
  </si>
  <si>
    <t>AQ3363G</t>
  </si>
  <si>
    <t>DA45  主軸受</t>
  </si>
  <si>
    <t>DA46  主軸受</t>
  </si>
  <si>
    <t>AQ3364G</t>
  </si>
  <si>
    <t>DA50  主軸受</t>
  </si>
  <si>
    <t>AQ4755G</t>
  </si>
  <si>
    <t>AP8391G</t>
  </si>
  <si>
    <t>D45ｷｬﾘｱZB02(J5NACHI)200KG</t>
  </si>
  <si>
    <t>キャリア</t>
    <phoneticPr fontId="3"/>
  </si>
  <si>
    <t>AQ0884G</t>
  </si>
  <si>
    <t>F4CFS-D45 ｷｬﾘｱ SIASUNﾑｹ</t>
  </si>
  <si>
    <t>キャリア</t>
  </si>
  <si>
    <t>AP7808G</t>
  </si>
  <si>
    <t>F4C-D45ｷｬﾘｱ</t>
  </si>
  <si>
    <t>AP8021G</t>
  </si>
  <si>
    <t>D45ｷｬﾘｱ(KHI)BRGｱﾅ95.0K6</t>
  </si>
  <si>
    <t>AQ0724G</t>
  </si>
  <si>
    <t>F4CS-D45 (K 社殿向 ) ｷｬﾘｱ</t>
  </si>
  <si>
    <t>AP8393G</t>
  </si>
  <si>
    <t>F4CFS-D45ｷｬﾘｱJ4(NACHI)210KG</t>
  </si>
  <si>
    <t>AQ0520G</t>
  </si>
  <si>
    <t>F4C-D45 ｷｬﾘｱ</t>
  </si>
  <si>
    <t>AP8161G</t>
  </si>
  <si>
    <t>F4C-D45 ｷｬﾘｱ(ﾔｽｶﾜ)</t>
  </si>
  <si>
    <t>AP8458G</t>
  </si>
  <si>
    <t>F4CS-D45ｷｬﾘｱ(CROSSHUELLER)</t>
  </si>
  <si>
    <t>AP9812G</t>
  </si>
  <si>
    <t>F4C-D35 ｷｬﾘｱ(3-M5 ﾎﾞﾙﾄ 深 10.5</t>
    <phoneticPr fontId="3"/>
  </si>
  <si>
    <t>AP8383G</t>
  </si>
  <si>
    <t>D35ｷｬﾘｱZB02(J5NACHI)133/166KG</t>
  </si>
  <si>
    <t>AQ0723G</t>
  </si>
  <si>
    <t>F4CFS-D35 ｷｬﾘｱ N 社 210KGJ6</t>
  </si>
  <si>
    <t>AP9773G</t>
    <phoneticPr fontId="3"/>
  </si>
  <si>
    <t>AP7199G</t>
  </si>
  <si>
    <t>F4CS-D35 ｷｬﾘｱ(SUJ2 高周波 )</t>
  </si>
  <si>
    <t>AP7247G</t>
  </si>
  <si>
    <t>F4C-D35 ｷｬﾘｱ</t>
  </si>
  <si>
    <t>AP8386G</t>
  </si>
  <si>
    <t>D35ｷｬﾘｱZB01(J4NACHI)133/166KG</t>
  </si>
  <si>
    <t>AP9494G</t>
  </si>
  <si>
    <t>F4C-D35 ｷｬﾘｱ( 両 ｼｰﾙ &amp; ｲﾝﾛｰ)</t>
  </si>
  <si>
    <t>AP8249G</t>
  </si>
  <si>
    <t>F4C-D35 ｷｬﾘｱ(ｵｲﾙｼｰﾙ &amp; ｲﾝﾛｰ)</t>
  </si>
  <si>
    <t>CK670LG</t>
  </si>
  <si>
    <t>UA25 ｷｬﾘｱ  ｹﾝﾏ ﾉﾐ</t>
  </si>
  <si>
    <t>AP7199GC01</t>
  </si>
  <si>
    <t>CD35ｷｬﾘｱ(Lｶｺｳﾁｭｳｶﾝｿｻﾞｲ)</t>
  </si>
  <si>
    <t>GC01</t>
    <phoneticPr fontId="3"/>
  </si>
  <si>
    <t>AP8383GC01</t>
  </si>
  <si>
    <t>CD35ｷｬﾘｱZB02(J5NAHI)133/166KG</t>
  </si>
  <si>
    <t>GC01</t>
  </si>
  <si>
    <t>AP9494GC01</t>
  </si>
  <si>
    <t>AX0653G</t>
  </si>
  <si>
    <t>D15 D25 玉軸受用鋼球 (11/32)</t>
  </si>
  <si>
    <t>鋼球</t>
    <rPh sb="0" eb="2">
      <t>コウキュウ</t>
    </rPh>
    <phoneticPr fontId="3"/>
  </si>
  <si>
    <t>AX0648G</t>
  </si>
  <si>
    <t>D30 D35 玉軸受用鋼球 (13/32)</t>
  </si>
  <si>
    <t>AX1801G</t>
  </si>
  <si>
    <t>D45/U/UA45 玉軸受用鋼球 (15/32</t>
    <phoneticPr fontId="3"/>
  </si>
  <si>
    <t>MPB3678010</t>
  </si>
  <si>
    <t>M682170B</t>
  </si>
  <si>
    <t>CM227LG</t>
  </si>
  <si>
    <t>P240 出力キャリア 1/4</t>
  </si>
  <si>
    <t>IB</t>
    <phoneticPr fontId="3"/>
  </si>
  <si>
    <t>CM228LG</t>
  </si>
  <si>
    <t>P240 出力キャリア 1/5</t>
  </si>
  <si>
    <t>CM229LG</t>
  </si>
  <si>
    <t>P240 出力キャリア 1/7</t>
  </si>
  <si>
    <t>CM230LG</t>
  </si>
  <si>
    <t>P240 出力キャリア 1/10</t>
  </si>
  <si>
    <t>CM219LG</t>
  </si>
  <si>
    <t>P240 出力フランジ  1/4</t>
  </si>
  <si>
    <t>CM220LG</t>
  </si>
  <si>
    <t>P240 出力フランジ  1/5</t>
  </si>
  <si>
    <t>CM221LG</t>
  </si>
  <si>
    <t>P240 出力フランジ  1/7</t>
  </si>
  <si>
    <t>CM222LG</t>
  </si>
  <si>
    <t>P240 出力フランジ  1/10</t>
  </si>
  <si>
    <t>CM231LG</t>
  </si>
  <si>
    <t>P250 出力キャリア 1/4</t>
  </si>
  <si>
    <t>CM232LG</t>
  </si>
  <si>
    <t>P250 出力キャリア 1/5</t>
  </si>
  <si>
    <t>CM233LG</t>
  </si>
  <si>
    <t>P250 出力キャリア 1/7</t>
  </si>
  <si>
    <t>CM234LG</t>
  </si>
  <si>
    <t>P250 出力キャリア 1/10</t>
  </si>
  <si>
    <t>CM223LG</t>
  </si>
  <si>
    <t>P250 出力フランジ  1/4</t>
  </si>
  <si>
    <t>CM224LG</t>
  </si>
  <si>
    <t>P250 出力フランジ  1/5</t>
  </si>
  <si>
    <t>CM225LG</t>
  </si>
  <si>
    <t>P250 出力フランジ  1/7</t>
    <phoneticPr fontId="3"/>
  </si>
  <si>
    <t>CM226LG</t>
  </si>
  <si>
    <t>P250 出力フランジ  1/10</t>
  </si>
  <si>
    <t>品名</t>
    <phoneticPr fontId="3"/>
  </si>
  <si>
    <t>重量kg</t>
    <rPh sb="0" eb="2">
      <t>ジュウリョウ</t>
    </rPh>
    <phoneticPr fontId="3"/>
  </si>
  <si>
    <t>k1</t>
    <phoneticPr fontId="3"/>
  </si>
  <si>
    <t>パレット名</t>
    <rPh sb="4" eb="5">
      <t>メイ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</si>
</sst>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b/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2" fillId="0" borderId="1" xfId="0" applyNumberFormat="1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176" fontId="2" fillId="0" borderId="5" xfId="0" applyNumberFormat="1" applyFont="1" applyBorder="1">
      <alignment vertical="center"/>
    </xf>
    <xf numFmtId="0" fontId="2" fillId="0" borderId="6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8" xfId="0" applyFont="1" applyBorder="1">
      <alignment vertical="center"/>
    </xf>
    <xf numFmtId="176" fontId="2" fillId="0" borderId="9" xfId="0" applyNumberFormat="1" applyFont="1" applyBorder="1">
      <alignment vertical="center"/>
    </xf>
    <xf numFmtId="0" fontId="6" fillId="0" borderId="7" xfId="0" applyFont="1" applyBorder="1" applyAlignment="1">
      <alignment horizontal="left" vertical="center"/>
    </xf>
    <xf numFmtId="38" fontId="6" fillId="0" borderId="7" xfId="1" applyFont="1" applyFill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38" fontId="6" fillId="2" borderId="7" xfId="1" applyFont="1" applyFill="1" applyBorder="1" applyAlignment="1">
      <alignment horizontal="left" vertical="center"/>
    </xf>
    <xf numFmtId="0" fontId="2" fillId="2" borderId="7" xfId="0" applyFont="1" applyFill="1" applyBorder="1">
      <alignment vertical="center"/>
    </xf>
    <xf numFmtId="0" fontId="2" fillId="0" borderId="7" xfId="0" applyFont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6" fillId="0" borderId="7" xfId="0" applyFont="1" applyBorder="1">
      <alignment vertical="center"/>
    </xf>
    <xf numFmtId="0" fontId="6" fillId="2" borderId="7" xfId="0" applyFont="1" applyFill="1" applyBorder="1" applyAlignment="1">
      <alignment horizontal="left" vertical="center"/>
    </xf>
    <xf numFmtId="38" fontId="6" fillId="3" borderId="7" xfId="1" applyFont="1" applyFill="1" applyBorder="1" applyAlignment="1">
      <alignment horizontal="left" vertical="center"/>
    </xf>
    <xf numFmtId="49" fontId="6" fillId="3" borderId="8" xfId="0" applyNumberFormat="1" applyFont="1" applyFill="1" applyBorder="1" applyAlignment="1">
      <alignment horizontal="left" vertical="center"/>
    </xf>
    <xf numFmtId="38" fontId="6" fillId="3" borderId="10" xfId="1" applyFont="1" applyFill="1" applyBorder="1" applyAlignment="1">
      <alignment horizontal="left" vertical="center"/>
    </xf>
    <xf numFmtId="49" fontId="6" fillId="3" borderId="11" xfId="0" applyNumberFormat="1" applyFont="1" applyFill="1" applyBorder="1" applyAlignment="1">
      <alignment horizontal="left" vertical="center"/>
    </xf>
    <xf numFmtId="0" fontId="2" fillId="0" borderId="11" xfId="0" applyFont="1" applyBorder="1">
      <alignment vertical="center"/>
    </xf>
    <xf numFmtId="176" fontId="2" fillId="0" borderId="12" xfId="0" applyNumberFormat="1" applyFont="1" applyBorder="1">
      <alignment vertical="center"/>
    </xf>
    <xf numFmtId="0" fontId="2" fillId="0" borderId="13" xfId="0" applyFont="1" applyBorder="1">
      <alignment vertical="center"/>
    </xf>
    <xf numFmtId="0" fontId="2" fillId="0" borderId="14" xfId="0" applyFont="1" applyBorder="1">
      <alignment vertical="center"/>
    </xf>
    <xf numFmtId="0" fontId="2" fillId="0" borderId="10" xfId="0" applyFont="1" applyBorder="1">
      <alignment vertical="center"/>
    </xf>
    <xf numFmtId="0" fontId="6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2" fillId="0" borderId="5" xfId="0" applyFont="1" applyBorder="1">
      <alignment vertical="center"/>
    </xf>
    <xf numFmtId="0" fontId="2" fillId="0" borderId="9" xfId="0" applyFont="1" applyBorder="1">
      <alignment vertical="center"/>
    </xf>
    <xf numFmtId="0" fontId="2" fillId="0" borderId="15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6" xfId="0" applyFont="1" applyBorder="1">
      <alignment vertical="center"/>
    </xf>
    <xf numFmtId="176" fontId="2" fillId="0" borderId="17" xfId="0" applyNumberFormat="1" applyFont="1" applyBorder="1">
      <alignment vertical="center"/>
    </xf>
    <xf numFmtId="0" fontId="2" fillId="0" borderId="19" xfId="0" applyFont="1" applyBorder="1">
      <alignment vertical="center"/>
    </xf>
    <xf numFmtId="0" fontId="2" fillId="3" borderId="3" xfId="0" applyFont="1" applyFill="1" applyBorder="1">
      <alignment vertical="center"/>
    </xf>
    <xf numFmtId="0" fontId="2" fillId="3" borderId="4" xfId="0" applyFont="1" applyFill="1" applyBorder="1">
      <alignment vertical="center"/>
    </xf>
    <xf numFmtId="0" fontId="2" fillId="3" borderId="7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2" fillId="3" borderId="10" xfId="0" applyFont="1" applyFill="1" applyBorder="1">
      <alignment vertical="center"/>
    </xf>
    <xf numFmtId="0" fontId="2" fillId="3" borderId="11" xfId="0" applyFont="1" applyFill="1" applyBorder="1">
      <alignment vertical="center"/>
    </xf>
    <xf numFmtId="0" fontId="2" fillId="3" borderId="13" xfId="0" applyFont="1" applyFill="1" applyBorder="1">
      <alignment vertical="center"/>
    </xf>
    <xf numFmtId="0" fontId="2" fillId="3" borderId="14" xfId="0" applyFont="1" applyFill="1" applyBorder="1">
      <alignment vertical="center"/>
    </xf>
    <xf numFmtId="0" fontId="2" fillId="3" borderId="18" xfId="0" applyFont="1" applyFill="1" applyBorder="1">
      <alignment vertical="center"/>
    </xf>
    <xf numFmtId="0" fontId="2" fillId="3" borderId="19" xfId="0" applyFont="1" applyFill="1" applyBorder="1">
      <alignment vertical="center"/>
    </xf>
    <xf numFmtId="176" fontId="2" fillId="0" borderId="20" xfId="0" applyNumberFormat="1" applyFont="1" applyBorder="1">
      <alignment vertical="center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  <xf numFmtId="176" fontId="2" fillId="0" borderId="23" xfId="0" applyNumberFormat="1" applyFont="1" applyBorder="1">
      <alignment vertical="center"/>
    </xf>
    <xf numFmtId="0" fontId="0" fillId="0" borderId="8" xfId="0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38BB3-6AEA-4143-AC97-8C499F62D2AA}">
  <dimension ref="A1:J176"/>
  <sheetViews>
    <sheetView zoomScale="160" zoomScaleNormal="160" workbookViewId="0">
      <selection activeCell="D1" sqref="D1"/>
    </sheetView>
  </sheetViews>
  <sheetFormatPr defaultRowHeight="17.7" x14ac:dyDescent="0.4"/>
  <cols>
    <col min="1" max="1" width="9.88671875" style="1" customWidth="1"/>
    <col min="2" max="2" width="30.5546875" style="1" bestFit="1" customWidth="1"/>
    <col min="3" max="3" width="11.5546875" style="1" customWidth="1"/>
    <col min="4" max="4" width="11.44140625" style="1" customWidth="1"/>
    <col min="5" max="5" width="12.44140625" style="1" customWidth="1"/>
    <col min="6" max="6" width="8" style="1" customWidth="1"/>
    <col min="7" max="7" width="9.88671875" style="2" customWidth="1"/>
  </cols>
  <sheetData>
    <row r="1" spans="1:10" ht="18.350000000000001" thickBot="1" x14ac:dyDescent="0.45">
      <c r="A1" s="3" t="s">
        <v>0</v>
      </c>
      <c r="B1" s="3" t="s">
        <v>361</v>
      </c>
      <c r="C1" s="4" t="s">
        <v>1</v>
      </c>
      <c r="D1" s="5" t="s">
        <v>2</v>
      </c>
      <c r="E1" s="4" t="s">
        <v>3</v>
      </c>
      <c r="F1" s="4" t="s">
        <v>4</v>
      </c>
      <c r="G1" s="6" t="s">
        <v>5</v>
      </c>
      <c r="I1" s="1"/>
      <c r="J1" s="1"/>
    </row>
    <row r="2" spans="1:10" x14ac:dyDescent="0.4">
      <c r="A2" s="7" t="s">
        <v>8</v>
      </c>
      <c r="B2" s="8" t="s">
        <v>9</v>
      </c>
      <c r="C2" s="8" t="s">
        <v>10</v>
      </c>
      <c r="D2" s="8">
        <v>270</v>
      </c>
      <c r="E2" s="8">
        <v>30</v>
      </c>
      <c r="F2" s="8">
        <f>+E2/1000</f>
        <v>0.03</v>
      </c>
      <c r="G2" s="9">
        <f>IF(F2="","",D2*F2)</f>
        <v>8.1</v>
      </c>
    </row>
    <row r="3" spans="1:10" x14ac:dyDescent="0.4">
      <c r="A3" s="11" t="s">
        <v>11</v>
      </c>
      <c r="B3" s="12" t="s">
        <v>12</v>
      </c>
      <c r="C3" s="12" t="s">
        <v>10</v>
      </c>
      <c r="D3" s="12">
        <v>140</v>
      </c>
      <c r="E3" s="12">
        <v>86</v>
      </c>
      <c r="F3" s="12">
        <f t="shared" ref="F3:F66" si="0">+E3/1000</f>
        <v>8.5999999999999993E-2</v>
      </c>
      <c r="G3" s="13">
        <f t="shared" ref="G3:G66" si="1">IF(F3="","",D3*F3)</f>
        <v>12.04</v>
      </c>
    </row>
    <row r="4" spans="1:10" x14ac:dyDescent="0.4">
      <c r="A4" s="11" t="s">
        <v>14</v>
      </c>
      <c r="B4" s="12" t="s">
        <v>15</v>
      </c>
      <c r="C4" s="12" t="s">
        <v>10</v>
      </c>
      <c r="D4" s="12">
        <v>140</v>
      </c>
      <c r="E4" s="12">
        <v>86</v>
      </c>
      <c r="F4" s="12">
        <f t="shared" si="0"/>
        <v>8.5999999999999993E-2</v>
      </c>
      <c r="G4" s="13">
        <f t="shared" si="1"/>
        <v>12.04</v>
      </c>
    </row>
    <row r="5" spans="1:10" x14ac:dyDescent="0.4">
      <c r="A5" s="11" t="s">
        <v>17</v>
      </c>
      <c r="B5" s="12" t="s">
        <v>18</v>
      </c>
      <c r="C5" s="12" t="s">
        <v>10</v>
      </c>
      <c r="D5" s="12">
        <v>140</v>
      </c>
      <c r="E5" s="12">
        <v>86</v>
      </c>
      <c r="F5" s="12">
        <f t="shared" si="0"/>
        <v>8.5999999999999993E-2</v>
      </c>
      <c r="G5" s="13">
        <f t="shared" si="1"/>
        <v>12.04</v>
      </c>
    </row>
    <row r="6" spans="1:10" x14ac:dyDescent="0.4">
      <c r="A6" s="11" t="s">
        <v>20</v>
      </c>
      <c r="B6" s="12" t="s">
        <v>21</v>
      </c>
      <c r="C6" s="12" t="s">
        <v>10</v>
      </c>
      <c r="D6" s="12">
        <v>140</v>
      </c>
      <c r="E6" s="12">
        <v>86</v>
      </c>
      <c r="F6" s="12">
        <f t="shared" si="0"/>
        <v>8.5999999999999993E-2</v>
      </c>
      <c r="G6" s="13">
        <f t="shared" si="1"/>
        <v>12.04</v>
      </c>
    </row>
    <row r="7" spans="1:10" x14ac:dyDescent="0.4">
      <c r="A7" s="11" t="s">
        <v>23</v>
      </c>
      <c r="B7" s="12" t="s">
        <v>24</v>
      </c>
      <c r="C7" s="12" t="s">
        <v>10</v>
      </c>
      <c r="D7" s="12">
        <v>140</v>
      </c>
      <c r="E7" s="12">
        <v>86</v>
      </c>
      <c r="F7" s="12">
        <f t="shared" si="0"/>
        <v>8.5999999999999993E-2</v>
      </c>
      <c r="G7" s="13">
        <f t="shared" si="1"/>
        <v>12.04</v>
      </c>
    </row>
    <row r="8" spans="1:10" x14ac:dyDescent="0.4">
      <c r="A8" s="11" t="s">
        <v>27</v>
      </c>
      <c r="B8" s="12" t="s">
        <v>28</v>
      </c>
      <c r="C8" s="12" t="s">
        <v>10</v>
      </c>
      <c r="D8" s="12">
        <v>140</v>
      </c>
      <c r="E8" s="12">
        <v>86</v>
      </c>
      <c r="F8" s="12">
        <f t="shared" si="0"/>
        <v>8.5999999999999993E-2</v>
      </c>
      <c r="G8" s="13">
        <f t="shared" si="1"/>
        <v>12.04</v>
      </c>
    </row>
    <row r="9" spans="1:10" x14ac:dyDescent="0.4">
      <c r="A9" s="11" t="s">
        <v>30</v>
      </c>
      <c r="B9" s="12" t="s">
        <v>31</v>
      </c>
      <c r="C9" s="12" t="s">
        <v>10</v>
      </c>
      <c r="D9" s="12">
        <v>140</v>
      </c>
      <c r="E9" s="12">
        <v>86</v>
      </c>
      <c r="F9" s="12">
        <f t="shared" si="0"/>
        <v>8.5999999999999993E-2</v>
      </c>
      <c r="G9" s="13">
        <f t="shared" si="1"/>
        <v>12.04</v>
      </c>
    </row>
    <row r="10" spans="1:10" x14ac:dyDescent="0.4">
      <c r="A10" s="11" t="s">
        <v>33</v>
      </c>
      <c r="B10" s="12" t="s">
        <v>34</v>
      </c>
      <c r="C10" s="12" t="s">
        <v>10</v>
      </c>
      <c r="D10" s="12">
        <v>140</v>
      </c>
      <c r="E10" s="12">
        <v>86</v>
      </c>
      <c r="F10" s="12">
        <f t="shared" si="0"/>
        <v>8.5999999999999993E-2</v>
      </c>
      <c r="G10" s="13">
        <f t="shared" si="1"/>
        <v>12.04</v>
      </c>
    </row>
    <row r="11" spans="1:10" x14ac:dyDescent="0.4">
      <c r="A11" s="11" t="s">
        <v>36</v>
      </c>
      <c r="B11" s="12" t="s">
        <v>37</v>
      </c>
      <c r="C11" s="12" t="s">
        <v>10</v>
      </c>
      <c r="D11" s="12">
        <v>140</v>
      </c>
      <c r="E11" s="12">
        <v>86</v>
      </c>
      <c r="F11" s="12">
        <f t="shared" si="0"/>
        <v>8.5999999999999993E-2</v>
      </c>
      <c r="G11" s="13">
        <f t="shared" si="1"/>
        <v>12.04</v>
      </c>
    </row>
    <row r="12" spans="1:10" x14ac:dyDescent="0.4">
      <c r="A12" s="11" t="s">
        <v>25</v>
      </c>
      <c r="B12" s="12" t="s">
        <v>38</v>
      </c>
      <c r="C12" s="12" t="s">
        <v>10</v>
      </c>
      <c r="D12" s="12">
        <v>140</v>
      </c>
      <c r="E12" s="12">
        <v>86</v>
      </c>
      <c r="F12" s="12">
        <f t="shared" si="0"/>
        <v>8.5999999999999993E-2</v>
      </c>
      <c r="G12" s="13">
        <f t="shared" si="1"/>
        <v>12.04</v>
      </c>
    </row>
    <row r="13" spans="1:10" x14ac:dyDescent="0.4">
      <c r="A13" s="11" t="s">
        <v>39</v>
      </c>
      <c r="B13" s="12" t="s">
        <v>40</v>
      </c>
      <c r="C13" s="12" t="s">
        <v>10</v>
      </c>
      <c r="D13" s="12">
        <v>69</v>
      </c>
      <c r="E13" s="12">
        <v>153</v>
      </c>
      <c r="F13" s="12">
        <f t="shared" si="0"/>
        <v>0.153</v>
      </c>
      <c r="G13" s="13">
        <f t="shared" si="1"/>
        <v>10.557</v>
      </c>
    </row>
    <row r="14" spans="1:10" x14ac:dyDescent="0.4">
      <c r="A14" s="11" t="s">
        <v>41</v>
      </c>
      <c r="B14" s="12" t="s">
        <v>42</v>
      </c>
      <c r="C14" s="12" t="s">
        <v>10</v>
      </c>
      <c r="D14" s="12">
        <v>69</v>
      </c>
      <c r="E14" s="12">
        <v>153</v>
      </c>
      <c r="F14" s="12">
        <f t="shared" si="0"/>
        <v>0.153</v>
      </c>
      <c r="G14" s="13">
        <f t="shared" si="1"/>
        <v>10.557</v>
      </c>
    </row>
    <row r="15" spans="1:10" x14ac:dyDescent="0.4">
      <c r="A15" s="11" t="s">
        <v>43</v>
      </c>
      <c r="B15" s="12" t="s">
        <v>44</v>
      </c>
      <c r="C15" s="12" t="s">
        <v>10</v>
      </c>
      <c r="D15" s="12">
        <v>69</v>
      </c>
      <c r="E15" s="12">
        <v>153</v>
      </c>
      <c r="F15" s="12">
        <f t="shared" si="0"/>
        <v>0.153</v>
      </c>
      <c r="G15" s="13">
        <f t="shared" si="1"/>
        <v>10.557</v>
      </c>
    </row>
    <row r="16" spans="1:10" x14ac:dyDescent="0.4">
      <c r="A16" s="11" t="s">
        <v>45</v>
      </c>
      <c r="B16" s="12" t="s">
        <v>46</v>
      </c>
      <c r="C16" s="12" t="s">
        <v>10</v>
      </c>
      <c r="D16" s="12">
        <v>45</v>
      </c>
      <c r="E16" s="12">
        <v>362</v>
      </c>
      <c r="F16" s="12">
        <f t="shared" si="0"/>
        <v>0.36199999999999999</v>
      </c>
      <c r="G16" s="13">
        <f t="shared" si="1"/>
        <v>16.29</v>
      </c>
    </row>
    <row r="17" spans="1:7" x14ac:dyDescent="0.4">
      <c r="A17" s="11" t="s">
        <v>47</v>
      </c>
      <c r="B17" s="12" t="s">
        <v>48</v>
      </c>
      <c r="C17" s="12" t="s">
        <v>10</v>
      </c>
      <c r="D17" s="12">
        <v>45</v>
      </c>
      <c r="E17" s="12">
        <v>362</v>
      </c>
      <c r="F17" s="12">
        <f t="shared" si="0"/>
        <v>0.36199999999999999</v>
      </c>
      <c r="G17" s="13">
        <f t="shared" si="1"/>
        <v>16.29</v>
      </c>
    </row>
    <row r="18" spans="1:7" x14ac:dyDescent="0.4">
      <c r="A18" s="11" t="s">
        <v>49</v>
      </c>
      <c r="B18" s="12" t="s">
        <v>50</v>
      </c>
      <c r="C18" s="12" t="s">
        <v>10</v>
      </c>
      <c r="D18" s="12">
        <v>45</v>
      </c>
      <c r="E18" s="12">
        <v>362</v>
      </c>
      <c r="F18" s="12">
        <v>0.36199999999999999</v>
      </c>
      <c r="G18" s="13">
        <v>16.29</v>
      </c>
    </row>
    <row r="19" spans="1:7" x14ac:dyDescent="0.4">
      <c r="A19" s="11" t="s">
        <v>51</v>
      </c>
      <c r="B19" s="12" t="s">
        <v>52</v>
      </c>
      <c r="C19" s="12" t="s">
        <v>10</v>
      </c>
      <c r="D19" s="12">
        <v>45</v>
      </c>
      <c r="E19" s="12">
        <v>362</v>
      </c>
      <c r="F19" s="12">
        <f t="shared" si="0"/>
        <v>0.36199999999999999</v>
      </c>
      <c r="G19" s="13">
        <f t="shared" si="1"/>
        <v>16.29</v>
      </c>
    </row>
    <row r="20" spans="1:7" x14ac:dyDescent="0.4">
      <c r="A20" s="11" t="s">
        <v>53</v>
      </c>
      <c r="B20" s="12" t="s">
        <v>54</v>
      </c>
      <c r="C20" s="12" t="s">
        <v>10</v>
      </c>
      <c r="D20" s="12">
        <v>45</v>
      </c>
      <c r="E20" s="12">
        <v>362</v>
      </c>
      <c r="F20" s="12">
        <f t="shared" si="0"/>
        <v>0.36199999999999999</v>
      </c>
      <c r="G20" s="13">
        <f t="shared" si="1"/>
        <v>16.29</v>
      </c>
    </row>
    <row r="21" spans="1:7" x14ac:dyDescent="0.4">
      <c r="A21" s="11" t="s">
        <v>55</v>
      </c>
      <c r="B21" s="12" t="s">
        <v>56</v>
      </c>
      <c r="C21" s="12" t="s">
        <v>10</v>
      </c>
      <c r="D21" s="12">
        <v>45</v>
      </c>
      <c r="E21" s="12">
        <v>362</v>
      </c>
      <c r="F21" s="12">
        <f t="shared" si="0"/>
        <v>0.36199999999999999</v>
      </c>
      <c r="G21" s="13">
        <f t="shared" si="1"/>
        <v>16.29</v>
      </c>
    </row>
    <row r="22" spans="1:7" x14ac:dyDescent="0.4">
      <c r="A22" s="11" t="s">
        <v>57</v>
      </c>
      <c r="B22" s="12" t="s">
        <v>58</v>
      </c>
      <c r="C22" s="12" t="s">
        <v>10</v>
      </c>
      <c r="D22" s="12">
        <v>45</v>
      </c>
      <c r="E22" s="12">
        <v>362</v>
      </c>
      <c r="F22" s="12">
        <f t="shared" si="0"/>
        <v>0.36199999999999999</v>
      </c>
      <c r="G22" s="13">
        <f t="shared" si="1"/>
        <v>16.29</v>
      </c>
    </row>
    <row r="23" spans="1:7" x14ac:dyDescent="0.4">
      <c r="A23" s="11" t="s">
        <v>59</v>
      </c>
      <c r="B23" s="12" t="s">
        <v>60</v>
      </c>
      <c r="C23" s="12" t="s">
        <v>10</v>
      </c>
      <c r="D23" s="12">
        <v>45</v>
      </c>
      <c r="E23" s="12">
        <v>362</v>
      </c>
      <c r="F23" s="12">
        <f t="shared" si="0"/>
        <v>0.36199999999999999</v>
      </c>
      <c r="G23" s="13">
        <f t="shared" si="1"/>
        <v>16.29</v>
      </c>
    </row>
    <row r="24" spans="1:7" x14ac:dyDescent="0.4">
      <c r="A24" s="14" t="s">
        <v>61</v>
      </c>
      <c r="B24" s="12" t="s">
        <v>62</v>
      </c>
      <c r="C24" s="12" t="s">
        <v>10</v>
      </c>
      <c r="D24" s="12">
        <v>24</v>
      </c>
      <c r="E24" s="12">
        <v>670</v>
      </c>
      <c r="F24" s="12">
        <f t="shared" si="0"/>
        <v>0.67</v>
      </c>
      <c r="G24" s="13">
        <f t="shared" si="1"/>
        <v>16.080000000000002</v>
      </c>
    </row>
    <row r="25" spans="1:7" x14ac:dyDescent="0.4">
      <c r="A25" s="14" t="s">
        <v>63</v>
      </c>
      <c r="B25" s="12" t="s">
        <v>64</v>
      </c>
      <c r="C25" s="12" t="s">
        <v>10</v>
      </c>
      <c r="D25" s="12">
        <v>24</v>
      </c>
      <c r="E25" s="12">
        <v>670</v>
      </c>
      <c r="F25" s="12">
        <f t="shared" si="0"/>
        <v>0.67</v>
      </c>
      <c r="G25" s="13">
        <f t="shared" si="1"/>
        <v>16.080000000000002</v>
      </c>
    </row>
    <row r="26" spans="1:7" x14ac:dyDescent="0.4">
      <c r="A26" s="14" t="s">
        <v>65</v>
      </c>
      <c r="B26" s="12" t="s">
        <v>66</v>
      </c>
      <c r="C26" s="12" t="s">
        <v>10</v>
      </c>
      <c r="D26" s="12">
        <v>24</v>
      </c>
      <c r="E26" s="12">
        <v>670</v>
      </c>
      <c r="F26" s="12">
        <f t="shared" si="0"/>
        <v>0.67</v>
      </c>
      <c r="G26" s="13">
        <f t="shared" si="1"/>
        <v>16.080000000000002</v>
      </c>
    </row>
    <row r="27" spans="1:7" x14ac:dyDescent="0.4">
      <c r="A27" s="14" t="s">
        <v>67</v>
      </c>
      <c r="B27" s="12" t="s">
        <v>68</v>
      </c>
      <c r="C27" s="12" t="s">
        <v>10</v>
      </c>
      <c r="D27" s="12">
        <v>24</v>
      </c>
      <c r="E27" s="12">
        <v>670</v>
      </c>
      <c r="F27" s="12">
        <f t="shared" si="0"/>
        <v>0.67</v>
      </c>
      <c r="G27" s="13">
        <f t="shared" si="1"/>
        <v>16.080000000000002</v>
      </c>
    </row>
    <row r="28" spans="1:7" x14ac:dyDescent="0.4">
      <c r="A28" s="14" t="s">
        <v>70</v>
      </c>
      <c r="B28" s="12" t="s">
        <v>71</v>
      </c>
      <c r="C28" s="12" t="s">
        <v>10</v>
      </c>
      <c r="D28" s="12">
        <v>24</v>
      </c>
      <c r="E28" s="12">
        <v>670</v>
      </c>
      <c r="F28" s="12">
        <f t="shared" si="0"/>
        <v>0.67</v>
      </c>
      <c r="G28" s="13">
        <f t="shared" si="1"/>
        <v>16.080000000000002</v>
      </c>
    </row>
    <row r="29" spans="1:7" x14ac:dyDescent="0.4">
      <c r="A29" s="14" t="s">
        <v>74</v>
      </c>
      <c r="B29" s="12" t="s">
        <v>75</v>
      </c>
      <c r="C29" s="12" t="s">
        <v>10</v>
      </c>
      <c r="D29" s="12">
        <v>24</v>
      </c>
      <c r="E29" s="12">
        <v>670</v>
      </c>
      <c r="F29" s="12">
        <f t="shared" si="0"/>
        <v>0.67</v>
      </c>
      <c r="G29" s="13">
        <f t="shared" si="1"/>
        <v>16.080000000000002</v>
      </c>
    </row>
    <row r="30" spans="1:7" x14ac:dyDescent="0.4">
      <c r="A30" s="14" t="s">
        <v>77</v>
      </c>
      <c r="B30" s="12" t="s">
        <v>78</v>
      </c>
      <c r="C30" s="12" t="s">
        <v>10</v>
      </c>
      <c r="D30" s="12">
        <v>16</v>
      </c>
      <c r="E30" s="12">
        <v>1215</v>
      </c>
      <c r="F30" s="12">
        <f t="shared" si="0"/>
        <v>1.2150000000000001</v>
      </c>
      <c r="G30" s="13">
        <f t="shared" si="1"/>
        <v>19.440000000000001</v>
      </c>
    </row>
    <row r="31" spans="1:7" x14ac:dyDescent="0.4">
      <c r="A31" s="14" t="s">
        <v>80</v>
      </c>
      <c r="B31" s="12" t="s">
        <v>81</v>
      </c>
      <c r="C31" s="12" t="s">
        <v>10</v>
      </c>
      <c r="D31" s="12">
        <v>16</v>
      </c>
      <c r="E31" s="12">
        <v>1215</v>
      </c>
      <c r="F31" s="12">
        <f t="shared" si="0"/>
        <v>1.2150000000000001</v>
      </c>
      <c r="G31" s="13">
        <f t="shared" si="1"/>
        <v>19.440000000000001</v>
      </c>
    </row>
    <row r="32" spans="1:7" x14ac:dyDescent="0.4">
      <c r="A32" s="14" t="s">
        <v>82</v>
      </c>
      <c r="B32" s="12" t="s">
        <v>83</v>
      </c>
      <c r="C32" s="12" t="s">
        <v>10</v>
      </c>
      <c r="D32" s="12">
        <v>16</v>
      </c>
      <c r="E32" s="12">
        <v>1215</v>
      </c>
      <c r="F32" s="12">
        <f t="shared" si="0"/>
        <v>1.2150000000000001</v>
      </c>
      <c r="G32" s="13">
        <f t="shared" si="1"/>
        <v>19.440000000000001</v>
      </c>
    </row>
    <row r="33" spans="1:7" x14ac:dyDescent="0.4">
      <c r="A33" s="14" t="s">
        <v>84</v>
      </c>
      <c r="B33" s="12" t="s">
        <v>85</v>
      </c>
      <c r="C33" s="12" t="s">
        <v>10</v>
      </c>
      <c r="D33" s="12">
        <v>16</v>
      </c>
      <c r="E33" s="12">
        <v>1215</v>
      </c>
      <c r="F33" s="12">
        <f t="shared" si="0"/>
        <v>1.2150000000000001</v>
      </c>
      <c r="G33" s="13">
        <f t="shared" si="1"/>
        <v>19.440000000000001</v>
      </c>
    </row>
    <row r="34" spans="1:7" x14ac:dyDescent="0.4">
      <c r="A34" s="15" t="s">
        <v>86</v>
      </c>
      <c r="B34" s="16" t="s">
        <v>87</v>
      </c>
      <c r="C34" s="12" t="s">
        <v>10</v>
      </c>
      <c r="D34" s="12">
        <v>15</v>
      </c>
      <c r="E34" s="12">
        <v>978</v>
      </c>
      <c r="F34" s="12">
        <f t="shared" si="0"/>
        <v>0.97799999999999998</v>
      </c>
      <c r="G34" s="13">
        <f t="shared" si="1"/>
        <v>14.67</v>
      </c>
    </row>
    <row r="35" spans="1:7" x14ac:dyDescent="0.4">
      <c r="A35" s="15" t="s">
        <v>88</v>
      </c>
      <c r="B35" s="16" t="s">
        <v>89</v>
      </c>
      <c r="C35" s="12" t="s">
        <v>10</v>
      </c>
      <c r="D35" s="12">
        <v>12</v>
      </c>
      <c r="E35" s="12">
        <v>1220</v>
      </c>
      <c r="F35" s="12">
        <f t="shared" si="0"/>
        <v>1.22</v>
      </c>
      <c r="G35" s="13">
        <f t="shared" si="1"/>
        <v>14.64</v>
      </c>
    </row>
    <row r="36" spans="1:7" x14ac:dyDescent="0.4">
      <c r="A36" s="15" t="s">
        <v>91</v>
      </c>
      <c r="B36" s="16" t="s">
        <v>92</v>
      </c>
      <c r="C36" s="12" t="s">
        <v>10</v>
      </c>
      <c r="D36" s="12">
        <v>6</v>
      </c>
      <c r="E36" s="12">
        <v>2053</v>
      </c>
      <c r="F36" s="12">
        <f t="shared" si="0"/>
        <v>2.0529999999999999</v>
      </c>
      <c r="G36" s="13">
        <f t="shared" si="1"/>
        <v>12.318</v>
      </c>
    </row>
    <row r="37" spans="1:7" x14ac:dyDescent="0.4">
      <c r="A37" s="15" t="s">
        <v>93</v>
      </c>
      <c r="B37" s="16" t="s">
        <v>94</v>
      </c>
      <c r="C37" s="12" t="s">
        <v>10</v>
      </c>
      <c r="D37" s="12">
        <v>15</v>
      </c>
      <c r="E37" s="12">
        <v>1090</v>
      </c>
      <c r="F37" s="12">
        <f t="shared" si="0"/>
        <v>1.0900000000000001</v>
      </c>
      <c r="G37" s="13">
        <f t="shared" si="1"/>
        <v>16.350000000000001</v>
      </c>
    </row>
    <row r="38" spans="1:7" x14ac:dyDescent="0.4">
      <c r="A38" s="17" t="s">
        <v>95</v>
      </c>
      <c r="B38" s="16" t="s">
        <v>96</v>
      </c>
      <c r="C38" s="12" t="s">
        <v>10</v>
      </c>
      <c r="D38" s="12">
        <v>7</v>
      </c>
      <c r="E38" s="12">
        <v>1200</v>
      </c>
      <c r="F38" s="12">
        <f t="shared" si="0"/>
        <v>1.2</v>
      </c>
      <c r="G38" s="13">
        <f t="shared" si="1"/>
        <v>8.4</v>
      </c>
    </row>
    <row r="39" spans="1:7" x14ac:dyDescent="0.4">
      <c r="A39" s="17" t="s">
        <v>97</v>
      </c>
      <c r="B39" s="16" t="s">
        <v>98</v>
      </c>
      <c r="C39" s="12" t="s">
        <v>10</v>
      </c>
      <c r="D39" s="12">
        <v>6</v>
      </c>
      <c r="E39" s="12">
        <v>1400</v>
      </c>
      <c r="F39" s="12">
        <f t="shared" si="0"/>
        <v>1.4</v>
      </c>
      <c r="G39" s="13">
        <f t="shared" si="1"/>
        <v>8.3999999999999986</v>
      </c>
    </row>
    <row r="40" spans="1:7" x14ac:dyDescent="0.4">
      <c r="A40" s="11" t="s">
        <v>99</v>
      </c>
      <c r="B40" s="12" t="s">
        <v>6</v>
      </c>
      <c r="C40" s="12" t="s">
        <v>10</v>
      </c>
      <c r="D40" s="12">
        <v>270</v>
      </c>
      <c r="E40" s="12">
        <v>57</v>
      </c>
      <c r="F40" s="12">
        <f t="shared" si="0"/>
        <v>5.7000000000000002E-2</v>
      </c>
      <c r="G40" s="13">
        <f t="shared" si="1"/>
        <v>15.39</v>
      </c>
    </row>
    <row r="41" spans="1:7" x14ac:dyDescent="0.4">
      <c r="A41" s="11" t="s">
        <v>100</v>
      </c>
      <c r="B41" s="12" t="s">
        <v>101</v>
      </c>
      <c r="C41" s="12" t="s">
        <v>10</v>
      </c>
      <c r="D41" s="12">
        <v>140</v>
      </c>
      <c r="E41" s="12">
        <v>100</v>
      </c>
      <c r="F41" s="12">
        <f t="shared" si="0"/>
        <v>0.1</v>
      </c>
      <c r="G41" s="13">
        <f t="shared" si="1"/>
        <v>14</v>
      </c>
    </row>
    <row r="42" spans="1:7" x14ac:dyDescent="0.4">
      <c r="A42" s="11" t="s">
        <v>102</v>
      </c>
      <c r="B42" s="12" t="s">
        <v>13</v>
      </c>
      <c r="C42" s="12" t="s">
        <v>10</v>
      </c>
      <c r="D42" s="12">
        <v>140</v>
      </c>
      <c r="E42" s="12">
        <v>100</v>
      </c>
      <c r="F42" s="12">
        <f t="shared" si="0"/>
        <v>0.1</v>
      </c>
      <c r="G42" s="13">
        <f t="shared" si="1"/>
        <v>14</v>
      </c>
    </row>
    <row r="43" spans="1:7" x14ac:dyDescent="0.4">
      <c r="A43" s="18" t="s">
        <v>103</v>
      </c>
      <c r="B43" s="12" t="s">
        <v>16</v>
      </c>
      <c r="C43" s="12" t="s">
        <v>10</v>
      </c>
      <c r="D43" s="12">
        <v>140</v>
      </c>
      <c r="E43" s="12">
        <v>100</v>
      </c>
      <c r="F43" s="12">
        <f t="shared" si="0"/>
        <v>0.1</v>
      </c>
      <c r="G43" s="13">
        <f t="shared" si="1"/>
        <v>14</v>
      </c>
    </row>
    <row r="44" spans="1:7" x14ac:dyDescent="0.4">
      <c r="A44" s="18" t="s">
        <v>104</v>
      </c>
      <c r="B44" s="12" t="s">
        <v>19</v>
      </c>
      <c r="C44" s="12" t="s">
        <v>10</v>
      </c>
      <c r="D44" s="12">
        <v>140</v>
      </c>
      <c r="E44" s="12">
        <v>100</v>
      </c>
      <c r="F44" s="12">
        <f t="shared" si="0"/>
        <v>0.1</v>
      </c>
      <c r="G44" s="13">
        <f t="shared" si="1"/>
        <v>14</v>
      </c>
    </row>
    <row r="45" spans="1:7" x14ac:dyDescent="0.4">
      <c r="A45" s="18" t="s">
        <v>105</v>
      </c>
      <c r="B45" s="12" t="s">
        <v>22</v>
      </c>
      <c r="C45" s="12" t="s">
        <v>10</v>
      </c>
      <c r="D45" s="12">
        <v>140</v>
      </c>
      <c r="E45" s="12">
        <v>100</v>
      </c>
      <c r="F45" s="12">
        <f t="shared" si="0"/>
        <v>0.1</v>
      </c>
      <c r="G45" s="13">
        <f t="shared" si="1"/>
        <v>14</v>
      </c>
    </row>
    <row r="46" spans="1:7" x14ac:dyDescent="0.4">
      <c r="A46" s="11" t="s">
        <v>106</v>
      </c>
      <c r="B46" s="12" t="s">
        <v>26</v>
      </c>
      <c r="C46" s="12" t="s">
        <v>10</v>
      </c>
      <c r="D46" s="12">
        <v>140</v>
      </c>
      <c r="E46" s="12">
        <v>100</v>
      </c>
      <c r="F46" s="12">
        <f t="shared" si="0"/>
        <v>0.1</v>
      </c>
      <c r="G46" s="13">
        <f t="shared" si="1"/>
        <v>14</v>
      </c>
    </row>
    <row r="47" spans="1:7" x14ac:dyDescent="0.4">
      <c r="A47" s="18" t="s">
        <v>107</v>
      </c>
      <c r="B47" s="12" t="s">
        <v>29</v>
      </c>
      <c r="C47" s="12" t="s">
        <v>10</v>
      </c>
      <c r="D47" s="12">
        <v>140</v>
      </c>
      <c r="E47" s="12">
        <v>100</v>
      </c>
      <c r="F47" s="12">
        <f t="shared" si="0"/>
        <v>0.1</v>
      </c>
      <c r="G47" s="13">
        <f t="shared" si="1"/>
        <v>14</v>
      </c>
    </row>
    <row r="48" spans="1:7" x14ac:dyDescent="0.4">
      <c r="A48" s="18" t="s">
        <v>108</v>
      </c>
      <c r="B48" s="12" t="s">
        <v>32</v>
      </c>
      <c r="C48" s="12" t="s">
        <v>10</v>
      </c>
      <c r="D48" s="12">
        <v>140</v>
      </c>
      <c r="E48" s="12">
        <v>100</v>
      </c>
      <c r="F48" s="12">
        <f t="shared" si="0"/>
        <v>0.1</v>
      </c>
      <c r="G48" s="13">
        <f t="shared" si="1"/>
        <v>14</v>
      </c>
    </row>
    <row r="49" spans="1:7" x14ac:dyDescent="0.4">
      <c r="A49" s="18" t="s">
        <v>109</v>
      </c>
      <c r="B49" s="12" t="s">
        <v>35</v>
      </c>
      <c r="C49" s="12" t="s">
        <v>10</v>
      </c>
      <c r="D49" s="12">
        <v>140</v>
      </c>
      <c r="E49" s="12">
        <v>100</v>
      </c>
      <c r="F49" s="12">
        <f t="shared" si="0"/>
        <v>0.1</v>
      </c>
      <c r="G49" s="13">
        <f t="shared" si="1"/>
        <v>14</v>
      </c>
    </row>
    <row r="50" spans="1:7" x14ac:dyDescent="0.4">
      <c r="A50" s="19" t="s">
        <v>110</v>
      </c>
      <c r="B50" s="12" t="s">
        <v>111</v>
      </c>
      <c r="C50" s="12" t="s">
        <v>10</v>
      </c>
      <c r="D50" s="12">
        <v>69</v>
      </c>
      <c r="E50" s="12">
        <v>163</v>
      </c>
      <c r="F50" s="12">
        <f t="shared" si="0"/>
        <v>0.16300000000000001</v>
      </c>
      <c r="G50" s="13">
        <f t="shared" si="1"/>
        <v>11.247</v>
      </c>
    </row>
    <row r="51" spans="1:7" x14ac:dyDescent="0.4">
      <c r="A51" s="20" t="s">
        <v>112</v>
      </c>
      <c r="B51" s="12" t="s">
        <v>113</v>
      </c>
      <c r="C51" s="12" t="s">
        <v>10</v>
      </c>
      <c r="D51" s="12">
        <v>69</v>
      </c>
      <c r="E51" s="12">
        <v>163</v>
      </c>
      <c r="F51" s="12">
        <f t="shared" si="0"/>
        <v>0.16300000000000001</v>
      </c>
      <c r="G51" s="13">
        <f t="shared" si="1"/>
        <v>11.247</v>
      </c>
    </row>
    <row r="52" spans="1:7" x14ac:dyDescent="0.4">
      <c r="A52" s="18" t="s">
        <v>114</v>
      </c>
      <c r="B52" s="12" t="s">
        <v>115</v>
      </c>
      <c r="C52" s="12" t="s">
        <v>10</v>
      </c>
      <c r="D52" s="12">
        <v>69</v>
      </c>
      <c r="E52" s="12">
        <v>163</v>
      </c>
      <c r="F52" s="12">
        <f t="shared" si="0"/>
        <v>0.16300000000000001</v>
      </c>
      <c r="G52" s="13">
        <f t="shared" si="1"/>
        <v>11.247</v>
      </c>
    </row>
    <row r="53" spans="1:7" x14ac:dyDescent="0.4">
      <c r="A53" s="11" t="s">
        <v>116</v>
      </c>
      <c r="B53" s="12" t="s">
        <v>117</v>
      </c>
      <c r="C53" s="12" t="s">
        <v>10</v>
      </c>
      <c r="D53" s="12">
        <v>45</v>
      </c>
      <c r="E53" s="12">
        <v>403</v>
      </c>
      <c r="F53" s="12">
        <f t="shared" si="0"/>
        <v>0.40300000000000002</v>
      </c>
      <c r="G53" s="13">
        <f t="shared" si="1"/>
        <v>18.135000000000002</v>
      </c>
    </row>
    <row r="54" spans="1:7" x14ac:dyDescent="0.4">
      <c r="A54" s="11" t="s">
        <v>118</v>
      </c>
      <c r="B54" s="12" t="s">
        <v>119</v>
      </c>
      <c r="C54" s="12" t="s">
        <v>10</v>
      </c>
      <c r="D54" s="12">
        <v>45</v>
      </c>
      <c r="E54" s="12">
        <v>403</v>
      </c>
      <c r="F54" s="12">
        <f t="shared" si="0"/>
        <v>0.40300000000000002</v>
      </c>
      <c r="G54" s="13">
        <f t="shared" si="1"/>
        <v>18.135000000000002</v>
      </c>
    </row>
    <row r="55" spans="1:7" x14ac:dyDescent="0.4">
      <c r="A55" s="11" t="s">
        <v>120</v>
      </c>
      <c r="B55" s="12" t="s">
        <v>121</v>
      </c>
      <c r="C55" s="12" t="s">
        <v>10</v>
      </c>
      <c r="D55" s="12">
        <v>45</v>
      </c>
      <c r="E55" s="12">
        <v>403</v>
      </c>
      <c r="F55" s="12">
        <f t="shared" si="0"/>
        <v>0.40300000000000002</v>
      </c>
      <c r="G55" s="13">
        <f t="shared" si="1"/>
        <v>18.135000000000002</v>
      </c>
    </row>
    <row r="56" spans="1:7" x14ac:dyDescent="0.4">
      <c r="A56" s="18" t="s">
        <v>122</v>
      </c>
      <c r="B56" s="12" t="s">
        <v>123</v>
      </c>
      <c r="C56" s="12" t="s">
        <v>10</v>
      </c>
      <c r="D56" s="12">
        <v>45</v>
      </c>
      <c r="E56" s="12">
        <v>403</v>
      </c>
      <c r="F56" s="12">
        <f t="shared" si="0"/>
        <v>0.40300000000000002</v>
      </c>
      <c r="G56" s="13">
        <f t="shared" si="1"/>
        <v>18.135000000000002</v>
      </c>
    </row>
    <row r="57" spans="1:7" x14ac:dyDescent="0.4">
      <c r="A57" s="11" t="s">
        <v>124</v>
      </c>
      <c r="B57" s="12" t="s">
        <v>125</v>
      </c>
      <c r="C57" s="12" t="s">
        <v>10</v>
      </c>
      <c r="D57" s="12">
        <v>45</v>
      </c>
      <c r="E57" s="12">
        <v>403</v>
      </c>
      <c r="F57" s="12">
        <f t="shared" si="0"/>
        <v>0.40300000000000002</v>
      </c>
      <c r="G57" s="13">
        <f t="shared" si="1"/>
        <v>18.135000000000002</v>
      </c>
    </row>
    <row r="58" spans="1:7" x14ac:dyDescent="0.4">
      <c r="A58" s="11" t="s">
        <v>126</v>
      </c>
      <c r="B58" s="12" t="s">
        <v>127</v>
      </c>
      <c r="C58" s="12" t="s">
        <v>10</v>
      </c>
      <c r="D58" s="12">
        <v>45</v>
      </c>
      <c r="E58" s="12">
        <v>403</v>
      </c>
      <c r="F58" s="12">
        <f t="shared" si="0"/>
        <v>0.40300000000000002</v>
      </c>
      <c r="G58" s="13">
        <f t="shared" si="1"/>
        <v>18.135000000000002</v>
      </c>
    </row>
    <row r="59" spans="1:7" x14ac:dyDescent="0.4">
      <c r="A59" s="14" t="s">
        <v>128</v>
      </c>
      <c r="B59" s="12" t="s">
        <v>129</v>
      </c>
      <c r="C59" s="12" t="s">
        <v>10</v>
      </c>
      <c r="D59" s="12">
        <v>24</v>
      </c>
      <c r="E59" s="12">
        <v>730</v>
      </c>
      <c r="F59" s="12">
        <f t="shared" si="0"/>
        <v>0.73</v>
      </c>
      <c r="G59" s="13">
        <f t="shared" si="1"/>
        <v>17.52</v>
      </c>
    </row>
    <row r="60" spans="1:7" x14ac:dyDescent="0.4">
      <c r="A60" s="21" t="s">
        <v>130</v>
      </c>
      <c r="B60" s="12" t="s">
        <v>7</v>
      </c>
      <c r="C60" s="12" t="s">
        <v>10</v>
      </c>
      <c r="D60" s="12">
        <v>24</v>
      </c>
      <c r="E60" s="12">
        <v>730</v>
      </c>
      <c r="F60" s="12">
        <v>0.73</v>
      </c>
      <c r="G60" s="13">
        <v>17.52</v>
      </c>
    </row>
    <row r="61" spans="1:7" x14ac:dyDescent="0.4">
      <c r="A61" s="14" t="s">
        <v>131</v>
      </c>
      <c r="B61" s="12" t="s">
        <v>132</v>
      </c>
      <c r="C61" s="12" t="s">
        <v>10</v>
      </c>
      <c r="D61" s="12">
        <v>24</v>
      </c>
      <c r="E61" s="12">
        <v>730</v>
      </c>
      <c r="F61" s="12">
        <f t="shared" si="0"/>
        <v>0.73</v>
      </c>
      <c r="G61" s="13">
        <f t="shared" si="1"/>
        <v>17.52</v>
      </c>
    </row>
    <row r="62" spans="1:7" x14ac:dyDescent="0.4">
      <c r="A62" s="14" t="s">
        <v>133</v>
      </c>
      <c r="B62" s="12" t="s">
        <v>134</v>
      </c>
      <c r="C62" s="12" t="s">
        <v>10</v>
      </c>
      <c r="D62" s="12">
        <v>24</v>
      </c>
      <c r="E62" s="12">
        <v>730</v>
      </c>
      <c r="F62" s="12">
        <f t="shared" si="0"/>
        <v>0.73</v>
      </c>
      <c r="G62" s="13">
        <f t="shared" si="1"/>
        <v>17.52</v>
      </c>
    </row>
    <row r="63" spans="1:7" x14ac:dyDescent="0.4">
      <c r="A63" s="22" t="s">
        <v>135</v>
      </c>
      <c r="B63" s="12" t="s">
        <v>136</v>
      </c>
      <c r="C63" s="12" t="s">
        <v>10</v>
      </c>
      <c r="D63" s="12">
        <v>24</v>
      </c>
      <c r="E63" s="12">
        <v>730</v>
      </c>
      <c r="F63" s="12">
        <f t="shared" si="0"/>
        <v>0.73</v>
      </c>
      <c r="G63" s="13">
        <f t="shared" si="1"/>
        <v>17.52</v>
      </c>
    </row>
    <row r="64" spans="1:7" x14ac:dyDescent="0.4">
      <c r="A64" s="22" t="s">
        <v>137</v>
      </c>
      <c r="B64" s="12" t="s">
        <v>138</v>
      </c>
      <c r="C64" s="12" t="s">
        <v>10</v>
      </c>
      <c r="D64" s="12">
        <v>24</v>
      </c>
      <c r="E64" s="12">
        <v>730</v>
      </c>
      <c r="F64" s="12">
        <v>0.73</v>
      </c>
      <c r="G64" s="13">
        <v>17.52</v>
      </c>
    </row>
    <row r="65" spans="1:7" x14ac:dyDescent="0.4">
      <c r="A65" s="14" t="s">
        <v>139</v>
      </c>
      <c r="B65" s="12" t="s">
        <v>140</v>
      </c>
      <c r="C65" s="12" t="s">
        <v>10</v>
      </c>
      <c r="D65" s="12">
        <v>24</v>
      </c>
      <c r="E65" s="12">
        <v>730</v>
      </c>
      <c r="F65" s="12">
        <f t="shared" si="0"/>
        <v>0.73</v>
      </c>
      <c r="G65" s="13">
        <f t="shared" si="1"/>
        <v>17.52</v>
      </c>
    </row>
    <row r="66" spans="1:7" x14ac:dyDescent="0.4">
      <c r="A66" s="14" t="s">
        <v>141</v>
      </c>
      <c r="B66" s="12" t="s">
        <v>142</v>
      </c>
      <c r="C66" s="12" t="s">
        <v>10</v>
      </c>
      <c r="D66" s="12">
        <v>24</v>
      </c>
      <c r="E66" s="12">
        <v>730</v>
      </c>
      <c r="F66" s="12">
        <f t="shared" si="0"/>
        <v>0.73</v>
      </c>
      <c r="G66" s="13">
        <f t="shared" si="1"/>
        <v>17.52</v>
      </c>
    </row>
    <row r="67" spans="1:7" x14ac:dyDescent="0.4">
      <c r="A67" s="14" t="s">
        <v>143</v>
      </c>
      <c r="B67" s="12" t="s">
        <v>69</v>
      </c>
      <c r="C67" s="12" t="s">
        <v>10</v>
      </c>
      <c r="D67" s="12">
        <v>16</v>
      </c>
      <c r="E67" s="12">
        <v>1334</v>
      </c>
      <c r="F67" s="12">
        <f t="shared" ref="F67:F79" si="2">+E67/1000</f>
        <v>1.3340000000000001</v>
      </c>
      <c r="G67" s="13">
        <f t="shared" ref="G67:G79" si="3">IF(F67="","",D67*F67)</f>
        <v>21.344000000000001</v>
      </c>
    </row>
    <row r="68" spans="1:7" x14ac:dyDescent="0.4">
      <c r="A68" s="14" t="s">
        <v>144</v>
      </c>
      <c r="B68" s="12" t="s">
        <v>73</v>
      </c>
      <c r="C68" s="12" t="s">
        <v>10</v>
      </c>
      <c r="D68" s="12">
        <v>16</v>
      </c>
      <c r="E68" s="12">
        <v>1334</v>
      </c>
      <c r="F68" s="12">
        <f t="shared" si="2"/>
        <v>1.3340000000000001</v>
      </c>
      <c r="G68" s="13">
        <f t="shared" si="3"/>
        <v>21.344000000000001</v>
      </c>
    </row>
    <row r="69" spans="1:7" x14ac:dyDescent="0.4">
      <c r="A69" s="14" t="s">
        <v>145</v>
      </c>
      <c r="B69" s="12" t="s">
        <v>72</v>
      </c>
      <c r="C69" s="12" t="s">
        <v>10</v>
      </c>
      <c r="D69" s="12">
        <v>16</v>
      </c>
      <c r="E69" s="12">
        <v>1334</v>
      </c>
      <c r="F69" s="12">
        <f t="shared" si="2"/>
        <v>1.3340000000000001</v>
      </c>
      <c r="G69" s="13">
        <f t="shared" si="3"/>
        <v>21.344000000000001</v>
      </c>
    </row>
    <row r="70" spans="1:7" x14ac:dyDescent="0.4">
      <c r="A70" s="14" t="s">
        <v>146</v>
      </c>
      <c r="B70" s="12" t="s">
        <v>76</v>
      </c>
      <c r="C70" s="12" t="s">
        <v>10</v>
      </c>
      <c r="D70" s="12">
        <v>16</v>
      </c>
      <c r="E70" s="12">
        <v>1334</v>
      </c>
      <c r="F70" s="12">
        <f t="shared" si="2"/>
        <v>1.3340000000000001</v>
      </c>
      <c r="G70" s="13">
        <f t="shared" si="3"/>
        <v>21.344000000000001</v>
      </c>
    </row>
    <row r="71" spans="1:7" x14ac:dyDescent="0.4">
      <c r="A71" s="14" t="s">
        <v>147</v>
      </c>
      <c r="B71" s="12" t="s">
        <v>148</v>
      </c>
      <c r="C71" s="12" t="s">
        <v>10</v>
      </c>
      <c r="D71" s="12">
        <v>16</v>
      </c>
      <c r="E71" s="12">
        <v>1334</v>
      </c>
      <c r="F71" s="12">
        <f t="shared" si="2"/>
        <v>1.3340000000000001</v>
      </c>
      <c r="G71" s="13">
        <f t="shared" si="3"/>
        <v>21.344000000000001</v>
      </c>
    </row>
    <row r="72" spans="1:7" x14ac:dyDescent="0.4">
      <c r="A72" s="14" t="s">
        <v>149</v>
      </c>
      <c r="B72" s="12" t="s">
        <v>79</v>
      </c>
      <c r="C72" s="12" t="s">
        <v>10</v>
      </c>
      <c r="D72" s="12">
        <v>16</v>
      </c>
      <c r="E72" s="12">
        <v>1334</v>
      </c>
      <c r="F72" s="12">
        <f t="shared" si="2"/>
        <v>1.3340000000000001</v>
      </c>
      <c r="G72" s="13">
        <f t="shared" si="3"/>
        <v>21.344000000000001</v>
      </c>
    </row>
    <row r="73" spans="1:7" x14ac:dyDescent="0.4">
      <c r="A73" s="15" t="s">
        <v>150</v>
      </c>
      <c r="B73" s="16" t="s">
        <v>151</v>
      </c>
      <c r="C73" s="12" t="s">
        <v>10</v>
      </c>
      <c r="D73" s="12">
        <v>15</v>
      </c>
      <c r="E73" s="12">
        <v>1150</v>
      </c>
      <c r="F73" s="12">
        <f t="shared" si="2"/>
        <v>1.1499999999999999</v>
      </c>
      <c r="G73" s="13">
        <f t="shared" si="3"/>
        <v>17.25</v>
      </c>
    </row>
    <row r="74" spans="1:7" x14ac:dyDescent="0.4">
      <c r="A74" s="23" t="s">
        <v>152</v>
      </c>
      <c r="B74" s="24" t="s">
        <v>90</v>
      </c>
      <c r="C74" s="12" t="s">
        <v>10</v>
      </c>
      <c r="D74" s="12">
        <v>15</v>
      </c>
      <c r="E74" s="12">
        <v>1150</v>
      </c>
      <c r="F74" s="12">
        <f>+E74/1000</f>
        <v>1.1499999999999999</v>
      </c>
      <c r="G74" s="13">
        <f>IF(F74="","",D74*F74)</f>
        <v>17.25</v>
      </c>
    </row>
    <row r="75" spans="1:7" x14ac:dyDescent="0.4">
      <c r="A75" s="11" t="s">
        <v>153</v>
      </c>
      <c r="B75" s="12" t="s">
        <v>154</v>
      </c>
      <c r="C75" s="12" t="s">
        <v>10</v>
      </c>
      <c r="D75" s="12">
        <v>15</v>
      </c>
      <c r="E75" s="12">
        <v>978</v>
      </c>
      <c r="F75" s="12">
        <v>0.97799999999999998</v>
      </c>
      <c r="G75" s="13">
        <v>14.67</v>
      </c>
    </row>
    <row r="76" spans="1:7" x14ac:dyDescent="0.4">
      <c r="A76" s="15" t="s">
        <v>155</v>
      </c>
      <c r="B76" s="16" t="s">
        <v>156</v>
      </c>
      <c r="C76" s="12" t="s">
        <v>10</v>
      </c>
      <c r="D76" s="12">
        <v>12</v>
      </c>
      <c r="E76" s="12">
        <v>1353</v>
      </c>
      <c r="F76" s="12">
        <v>1.353</v>
      </c>
      <c r="G76" s="13">
        <v>16.236000000000001</v>
      </c>
    </row>
    <row r="77" spans="1:7" x14ac:dyDescent="0.4">
      <c r="A77" s="23" t="s">
        <v>157</v>
      </c>
      <c r="B77" s="24" t="s">
        <v>158</v>
      </c>
      <c r="C77" s="12" t="s">
        <v>10</v>
      </c>
      <c r="D77" s="12">
        <v>12</v>
      </c>
      <c r="E77" s="12">
        <v>1353</v>
      </c>
      <c r="F77" s="12">
        <f>+E77/1000</f>
        <v>1.353</v>
      </c>
      <c r="G77" s="13">
        <f>IF(F77="","",D77*F77)</f>
        <v>16.236000000000001</v>
      </c>
    </row>
    <row r="78" spans="1:7" x14ac:dyDescent="0.4">
      <c r="A78" s="23" t="s">
        <v>159</v>
      </c>
      <c r="B78" s="24" t="s">
        <v>160</v>
      </c>
      <c r="C78" s="12" t="s">
        <v>10</v>
      </c>
      <c r="D78" s="12">
        <v>12</v>
      </c>
      <c r="E78" s="12">
        <v>1353</v>
      </c>
      <c r="F78" s="12">
        <v>1.353</v>
      </c>
      <c r="G78" s="13">
        <v>16.236000000000001</v>
      </c>
    </row>
    <row r="79" spans="1:7" x14ac:dyDescent="0.4">
      <c r="A79" s="15" t="s">
        <v>161</v>
      </c>
      <c r="B79" s="16" t="s">
        <v>162</v>
      </c>
      <c r="C79" s="12" t="s">
        <v>10</v>
      </c>
      <c r="D79" s="12">
        <v>6</v>
      </c>
      <c r="E79" s="12">
        <v>2263</v>
      </c>
      <c r="F79" s="12">
        <f t="shared" si="2"/>
        <v>2.2629999999999999</v>
      </c>
      <c r="G79" s="13">
        <f t="shared" si="3"/>
        <v>13.577999999999999</v>
      </c>
    </row>
    <row r="80" spans="1:7" x14ac:dyDescent="0.4">
      <c r="A80" s="23" t="s">
        <v>163</v>
      </c>
      <c r="B80" s="24" t="s">
        <v>164</v>
      </c>
      <c r="C80" s="12" t="s">
        <v>10</v>
      </c>
      <c r="D80" s="12">
        <v>6</v>
      </c>
      <c r="E80" s="12">
        <v>2263</v>
      </c>
      <c r="F80" s="12">
        <f>+E80/1000</f>
        <v>2.2629999999999999</v>
      </c>
      <c r="G80" s="13">
        <f>IF(F80="","",D80*F80)</f>
        <v>13.577999999999999</v>
      </c>
    </row>
    <row r="81" spans="1:7" ht="18.350000000000001" thickBot="1" x14ac:dyDescent="0.45">
      <c r="A81" s="25" t="s">
        <v>165</v>
      </c>
      <c r="B81" s="26" t="s">
        <v>166</v>
      </c>
      <c r="C81" s="27" t="s">
        <v>10</v>
      </c>
      <c r="D81" s="27">
        <v>6</v>
      </c>
      <c r="E81" s="27">
        <v>2263</v>
      </c>
      <c r="F81" s="27">
        <v>2.2629999999999999</v>
      </c>
      <c r="G81" s="28">
        <v>13.577999999999999</v>
      </c>
    </row>
    <row r="82" spans="1:7" x14ac:dyDescent="0.4">
      <c r="A82" s="7" t="s">
        <v>167</v>
      </c>
      <c r="B82" s="8" t="s">
        <v>168</v>
      </c>
      <c r="C82" s="8" t="s">
        <v>169</v>
      </c>
      <c r="D82" s="8">
        <v>66</v>
      </c>
      <c r="E82" s="8">
        <v>106</v>
      </c>
      <c r="F82" s="8">
        <f t="shared" ref="F82:F92" si="4">+E82/1000</f>
        <v>0.106</v>
      </c>
      <c r="G82" s="9">
        <f>IF(F82="","",D82*F82)</f>
        <v>6.9959999999999996</v>
      </c>
    </row>
    <row r="83" spans="1:7" x14ac:dyDescent="0.4">
      <c r="A83" s="11" t="s">
        <v>170</v>
      </c>
      <c r="B83" s="12" t="s">
        <v>171</v>
      </c>
      <c r="C83" s="12" t="s">
        <v>172</v>
      </c>
      <c r="D83" s="12">
        <v>66</v>
      </c>
      <c r="E83" s="12">
        <v>119</v>
      </c>
      <c r="F83" s="12">
        <f t="shared" si="4"/>
        <v>0.11899999999999999</v>
      </c>
      <c r="G83" s="13">
        <f t="shared" ref="G83:G92" si="5">IF(F83="","",D83*F83)</f>
        <v>7.8539999999999992</v>
      </c>
    </row>
    <row r="84" spans="1:7" x14ac:dyDescent="0.4">
      <c r="A84" s="11" t="s">
        <v>173</v>
      </c>
      <c r="B84" s="12" t="s">
        <v>174</v>
      </c>
      <c r="C84" s="12" t="s">
        <v>172</v>
      </c>
      <c r="D84" s="12">
        <v>27</v>
      </c>
      <c r="E84" s="12">
        <v>207</v>
      </c>
      <c r="F84" s="12">
        <f t="shared" si="4"/>
        <v>0.20699999999999999</v>
      </c>
      <c r="G84" s="13">
        <f t="shared" si="5"/>
        <v>5.5889999999999995</v>
      </c>
    </row>
    <row r="85" spans="1:7" x14ac:dyDescent="0.4">
      <c r="A85" s="11" t="s">
        <v>175</v>
      </c>
      <c r="B85" s="12" t="s">
        <v>176</v>
      </c>
      <c r="C85" s="12" t="s">
        <v>172</v>
      </c>
      <c r="D85" s="12">
        <v>27</v>
      </c>
      <c r="E85" s="12">
        <v>226</v>
      </c>
      <c r="F85" s="12">
        <f t="shared" si="4"/>
        <v>0.22600000000000001</v>
      </c>
      <c r="G85" s="13">
        <f t="shared" si="5"/>
        <v>6.1020000000000003</v>
      </c>
    </row>
    <row r="86" spans="1:7" x14ac:dyDescent="0.4">
      <c r="A86" s="11" t="s">
        <v>177</v>
      </c>
      <c r="B86" s="12" t="s">
        <v>178</v>
      </c>
      <c r="C86" s="12" t="s">
        <v>172</v>
      </c>
      <c r="D86" s="12">
        <v>20</v>
      </c>
      <c r="E86" s="12">
        <v>331</v>
      </c>
      <c r="F86" s="12">
        <f t="shared" si="4"/>
        <v>0.33100000000000002</v>
      </c>
      <c r="G86" s="13">
        <f t="shared" si="5"/>
        <v>6.62</v>
      </c>
    </row>
    <row r="87" spans="1:7" x14ac:dyDescent="0.4">
      <c r="A87" s="11" t="s">
        <v>179</v>
      </c>
      <c r="B87" s="12" t="s">
        <v>180</v>
      </c>
      <c r="C87" s="12" t="s">
        <v>172</v>
      </c>
      <c r="D87" s="12">
        <v>20</v>
      </c>
      <c r="E87" s="12">
        <v>331</v>
      </c>
      <c r="F87" s="12">
        <f t="shared" si="4"/>
        <v>0.33100000000000002</v>
      </c>
      <c r="G87" s="13">
        <f t="shared" si="5"/>
        <v>6.62</v>
      </c>
    </row>
    <row r="88" spans="1:7" x14ac:dyDescent="0.4">
      <c r="A88" s="11" t="s">
        <v>181</v>
      </c>
      <c r="B88" s="12" t="s">
        <v>182</v>
      </c>
      <c r="C88" s="12" t="s">
        <v>172</v>
      </c>
      <c r="D88" s="12">
        <v>66</v>
      </c>
      <c r="E88" s="12">
        <v>119</v>
      </c>
      <c r="F88" s="12">
        <f t="shared" si="4"/>
        <v>0.11899999999999999</v>
      </c>
      <c r="G88" s="13">
        <f t="shared" si="5"/>
        <v>7.8539999999999992</v>
      </c>
    </row>
    <row r="89" spans="1:7" x14ac:dyDescent="0.4">
      <c r="A89" s="29" t="s">
        <v>183</v>
      </c>
      <c r="B89" s="30" t="s">
        <v>184</v>
      </c>
      <c r="C89" s="12" t="s">
        <v>172</v>
      </c>
      <c r="D89" s="12">
        <v>66</v>
      </c>
      <c r="E89" s="12">
        <v>119</v>
      </c>
      <c r="F89" s="12">
        <f t="shared" si="4"/>
        <v>0.11899999999999999</v>
      </c>
      <c r="G89" s="13">
        <f t="shared" si="5"/>
        <v>7.8539999999999992</v>
      </c>
    </row>
    <row r="90" spans="1:7" ht="18.350000000000001" thickBot="1" x14ac:dyDescent="0.45">
      <c r="A90" s="29" t="s">
        <v>185</v>
      </c>
      <c r="B90" s="30" t="s">
        <v>182</v>
      </c>
      <c r="C90" s="12" t="s">
        <v>172</v>
      </c>
      <c r="D90" s="12">
        <v>66</v>
      </c>
      <c r="E90" s="12">
        <v>119</v>
      </c>
      <c r="F90" s="12">
        <f t="shared" si="4"/>
        <v>0.11899999999999999</v>
      </c>
      <c r="G90" s="13">
        <f t="shared" si="5"/>
        <v>7.8539999999999992</v>
      </c>
    </row>
    <row r="91" spans="1:7" x14ac:dyDescent="0.4">
      <c r="A91" s="29" t="s">
        <v>186</v>
      </c>
      <c r="B91" s="30" t="s">
        <v>187</v>
      </c>
      <c r="C91" s="12" t="s">
        <v>172</v>
      </c>
      <c r="D91" s="8">
        <v>66</v>
      </c>
      <c r="E91" s="8">
        <v>106</v>
      </c>
      <c r="F91" s="8">
        <f t="shared" si="4"/>
        <v>0.106</v>
      </c>
      <c r="G91" s="9">
        <f>IF(F91="","",D91*F91)</f>
        <v>6.9959999999999996</v>
      </c>
    </row>
    <row r="92" spans="1:7" ht="18.350000000000001" thickBot="1" x14ac:dyDescent="0.45">
      <c r="A92" s="31" t="s">
        <v>188</v>
      </c>
      <c r="B92" s="27" t="s">
        <v>189</v>
      </c>
      <c r="C92" s="27" t="s">
        <v>172</v>
      </c>
      <c r="D92" s="27">
        <v>10</v>
      </c>
      <c r="E92" s="27">
        <v>540</v>
      </c>
      <c r="F92" s="27">
        <f t="shared" si="4"/>
        <v>0.54</v>
      </c>
      <c r="G92" s="28">
        <f t="shared" si="5"/>
        <v>5.4</v>
      </c>
    </row>
    <row r="93" spans="1:7" x14ac:dyDescent="0.4">
      <c r="A93" s="32" t="s">
        <v>190</v>
      </c>
      <c r="B93" s="33" t="s">
        <v>191</v>
      </c>
      <c r="C93" s="8" t="s">
        <v>192</v>
      </c>
      <c r="D93" s="8">
        <v>50</v>
      </c>
      <c r="E93" s="8">
        <v>17</v>
      </c>
      <c r="F93" s="8">
        <f t="shared" ref="F93:F120" si="6">+E93/1000</f>
        <v>1.7000000000000001E-2</v>
      </c>
      <c r="G93" s="9">
        <f t="shared" ref="G93:G120" si="7">IF(F93="","",D93*F93)</f>
        <v>0.85000000000000009</v>
      </c>
    </row>
    <row r="94" spans="1:7" x14ac:dyDescent="0.4">
      <c r="A94" s="34" t="s">
        <v>193</v>
      </c>
      <c r="B94" s="35" t="s">
        <v>194</v>
      </c>
      <c r="C94" s="12" t="s">
        <v>192</v>
      </c>
      <c r="D94" s="12">
        <v>50</v>
      </c>
      <c r="E94" s="12">
        <v>17</v>
      </c>
      <c r="F94" s="12">
        <f t="shared" si="6"/>
        <v>1.7000000000000001E-2</v>
      </c>
      <c r="G94" s="13">
        <f t="shared" si="7"/>
        <v>0.85000000000000009</v>
      </c>
    </row>
    <row r="95" spans="1:7" x14ac:dyDescent="0.4">
      <c r="A95" s="34" t="s">
        <v>195</v>
      </c>
      <c r="B95" s="35" t="s">
        <v>196</v>
      </c>
      <c r="C95" s="12" t="s">
        <v>192</v>
      </c>
      <c r="D95" s="12">
        <v>50</v>
      </c>
      <c r="E95" s="12">
        <v>17</v>
      </c>
      <c r="F95" s="12">
        <f t="shared" si="6"/>
        <v>1.7000000000000001E-2</v>
      </c>
      <c r="G95" s="13">
        <f t="shared" si="7"/>
        <v>0.85000000000000009</v>
      </c>
    </row>
    <row r="96" spans="1:7" x14ac:dyDescent="0.4">
      <c r="A96" s="34" t="s">
        <v>197</v>
      </c>
      <c r="B96" s="35" t="s">
        <v>198</v>
      </c>
      <c r="C96" s="12" t="s">
        <v>192</v>
      </c>
      <c r="D96" s="12">
        <v>50</v>
      </c>
      <c r="E96" s="12">
        <v>17</v>
      </c>
      <c r="F96" s="12">
        <f t="shared" si="6"/>
        <v>1.7000000000000001E-2</v>
      </c>
      <c r="G96" s="13">
        <f t="shared" si="7"/>
        <v>0.85000000000000009</v>
      </c>
    </row>
    <row r="97" spans="1:7" x14ac:dyDescent="0.4">
      <c r="A97" s="34" t="s">
        <v>199</v>
      </c>
      <c r="B97" s="35" t="s">
        <v>200</v>
      </c>
      <c r="C97" s="12" t="s">
        <v>192</v>
      </c>
      <c r="D97" s="12">
        <v>100</v>
      </c>
      <c r="E97" s="12">
        <v>17</v>
      </c>
      <c r="F97" s="12">
        <f t="shared" si="6"/>
        <v>1.7000000000000001E-2</v>
      </c>
      <c r="G97" s="13">
        <f t="shared" si="7"/>
        <v>1.7000000000000002</v>
      </c>
    </row>
    <row r="98" spans="1:7" x14ac:dyDescent="0.4">
      <c r="A98" s="34" t="s">
        <v>201</v>
      </c>
      <c r="B98" s="35" t="s">
        <v>202</v>
      </c>
      <c r="C98" s="12" t="s">
        <v>192</v>
      </c>
      <c r="D98" s="12">
        <v>100</v>
      </c>
      <c r="E98" s="12">
        <v>17</v>
      </c>
      <c r="F98" s="12">
        <f t="shared" si="6"/>
        <v>1.7000000000000001E-2</v>
      </c>
      <c r="G98" s="13">
        <f t="shared" si="7"/>
        <v>1.7000000000000002</v>
      </c>
    </row>
    <row r="99" spans="1:7" x14ac:dyDescent="0.4">
      <c r="A99" s="34" t="s">
        <v>203</v>
      </c>
      <c r="B99" s="35" t="s">
        <v>204</v>
      </c>
      <c r="C99" s="12" t="s">
        <v>192</v>
      </c>
      <c r="D99" s="12">
        <v>100</v>
      </c>
      <c r="E99" s="12">
        <v>17</v>
      </c>
      <c r="F99" s="12">
        <f t="shared" si="6"/>
        <v>1.7000000000000001E-2</v>
      </c>
      <c r="G99" s="13">
        <f t="shared" si="7"/>
        <v>1.7000000000000002</v>
      </c>
    </row>
    <row r="100" spans="1:7" x14ac:dyDescent="0.4">
      <c r="A100" s="34" t="s">
        <v>205</v>
      </c>
      <c r="B100" s="35" t="s">
        <v>206</v>
      </c>
      <c r="C100" s="12" t="s">
        <v>192</v>
      </c>
      <c r="D100" s="12">
        <v>100</v>
      </c>
      <c r="E100" s="12">
        <v>17</v>
      </c>
      <c r="F100" s="12">
        <f t="shared" si="6"/>
        <v>1.7000000000000001E-2</v>
      </c>
      <c r="G100" s="13">
        <f t="shared" si="7"/>
        <v>1.7000000000000002</v>
      </c>
    </row>
    <row r="101" spans="1:7" x14ac:dyDescent="0.4">
      <c r="A101" s="34" t="s">
        <v>207</v>
      </c>
      <c r="B101" s="35" t="s">
        <v>208</v>
      </c>
      <c r="C101" s="12" t="s">
        <v>192</v>
      </c>
      <c r="D101" s="12">
        <v>100</v>
      </c>
      <c r="E101" s="12">
        <v>20</v>
      </c>
      <c r="F101" s="12">
        <f t="shared" si="6"/>
        <v>0.02</v>
      </c>
      <c r="G101" s="13">
        <f t="shared" si="7"/>
        <v>2</v>
      </c>
    </row>
    <row r="102" spans="1:7" x14ac:dyDescent="0.4">
      <c r="A102" s="11" t="s">
        <v>209</v>
      </c>
      <c r="B102" s="12" t="s">
        <v>210</v>
      </c>
      <c r="C102" s="12" t="s">
        <v>211</v>
      </c>
      <c r="D102" s="12">
        <v>100</v>
      </c>
      <c r="E102" s="12">
        <v>20</v>
      </c>
      <c r="F102" s="12">
        <f t="shared" si="6"/>
        <v>0.02</v>
      </c>
      <c r="G102" s="13">
        <f t="shared" si="7"/>
        <v>2</v>
      </c>
    </row>
    <row r="103" spans="1:7" x14ac:dyDescent="0.4">
      <c r="A103" s="11" t="s">
        <v>212</v>
      </c>
      <c r="B103" s="12" t="s">
        <v>213</v>
      </c>
      <c r="C103" s="12" t="s">
        <v>211</v>
      </c>
      <c r="D103" s="12">
        <v>100</v>
      </c>
      <c r="E103" s="12">
        <v>20</v>
      </c>
      <c r="F103" s="12">
        <f t="shared" si="6"/>
        <v>0.02</v>
      </c>
      <c r="G103" s="13">
        <f t="shared" si="7"/>
        <v>2</v>
      </c>
    </row>
    <row r="104" spans="1:7" x14ac:dyDescent="0.4">
      <c r="A104" s="11" t="s">
        <v>214</v>
      </c>
      <c r="B104" s="12" t="s">
        <v>215</v>
      </c>
      <c r="C104" s="12" t="s">
        <v>211</v>
      </c>
      <c r="D104" s="12">
        <v>100</v>
      </c>
      <c r="E104" s="12">
        <v>20</v>
      </c>
      <c r="F104" s="12">
        <f t="shared" si="6"/>
        <v>0.02</v>
      </c>
      <c r="G104" s="13">
        <f t="shared" si="7"/>
        <v>2</v>
      </c>
    </row>
    <row r="105" spans="1:7" x14ac:dyDescent="0.4">
      <c r="A105" s="11" t="s">
        <v>216</v>
      </c>
      <c r="B105" s="12" t="s">
        <v>217</v>
      </c>
      <c r="C105" s="12" t="s">
        <v>211</v>
      </c>
      <c r="D105" s="12">
        <v>100</v>
      </c>
      <c r="E105" s="12">
        <v>28</v>
      </c>
      <c r="F105" s="12">
        <f t="shared" si="6"/>
        <v>2.8000000000000001E-2</v>
      </c>
      <c r="G105" s="13">
        <f t="shared" si="7"/>
        <v>2.8000000000000003</v>
      </c>
    </row>
    <row r="106" spans="1:7" x14ac:dyDescent="0.4">
      <c r="A106" s="11" t="s">
        <v>218</v>
      </c>
      <c r="B106" s="12" t="s">
        <v>219</v>
      </c>
      <c r="C106" s="12" t="s">
        <v>211</v>
      </c>
      <c r="D106" s="12">
        <v>100</v>
      </c>
      <c r="E106" s="12">
        <v>28</v>
      </c>
      <c r="F106" s="12">
        <f t="shared" si="6"/>
        <v>2.8000000000000001E-2</v>
      </c>
      <c r="G106" s="13">
        <f t="shared" si="7"/>
        <v>2.8000000000000003</v>
      </c>
    </row>
    <row r="107" spans="1:7" x14ac:dyDescent="0.4">
      <c r="A107" s="11" t="s">
        <v>220</v>
      </c>
      <c r="B107" s="12" t="s">
        <v>221</v>
      </c>
      <c r="C107" s="12" t="s">
        <v>211</v>
      </c>
      <c r="D107" s="12">
        <v>100</v>
      </c>
      <c r="E107" s="12">
        <v>28</v>
      </c>
      <c r="F107" s="12">
        <f t="shared" si="6"/>
        <v>2.8000000000000001E-2</v>
      </c>
      <c r="G107" s="13">
        <f t="shared" si="7"/>
        <v>2.8000000000000003</v>
      </c>
    </row>
    <row r="108" spans="1:7" x14ac:dyDescent="0.4">
      <c r="A108" s="11" t="s">
        <v>222</v>
      </c>
      <c r="B108" s="12" t="s">
        <v>223</v>
      </c>
      <c r="C108" s="12" t="s">
        <v>211</v>
      </c>
      <c r="D108" s="12">
        <v>100</v>
      </c>
      <c r="E108" s="12">
        <v>28</v>
      </c>
      <c r="F108" s="12">
        <f t="shared" si="6"/>
        <v>2.8000000000000001E-2</v>
      </c>
      <c r="G108" s="13">
        <f t="shared" si="7"/>
        <v>2.8000000000000003</v>
      </c>
    </row>
    <row r="109" spans="1:7" x14ac:dyDescent="0.4">
      <c r="A109" s="11" t="s">
        <v>224</v>
      </c>
      <c r="B109" s="12" t="s">
        <v>225</v>
      </c>
      <c r="C109" s="12" t="s">
        <v>211</v>
      </c>
      <c r="D109" s="12">
        <v>100</v>
      </c>
      <c r="E109" s="12">
        <v>34</v>
      </c>
      <c r="F109" s="12">
        <f t="shared" si="6"/>
        <v>3.4000000000000002E-2</v>
      </c>
      <c r="G109" s="13">
        <f t="shared" si="7"/>
        <v>3.4000000000000004</v>
      </c>
    </row>
    <row r="110" spans="1:7" x14ac:dyDescent="0.4">
      <c r="A110" s="11" t="s">
        <v>226</v>
      </c>
      <c r="B110" s="12" t="s">
        <v>227</v>
      </c>
      <c r="C110" s="12" t="s">
        <v>211</v>
      </c>
      <c r="D110" s="12">
        <v>100</v>
      </c>
      <c r="E110" s="12">
        <v>34</v>
      </c>
      <c r="F110" s="12">
        <f t="shared" si="6"/>
        <v>3.4000000000000002E-2</v>
      </c>
      <c r="G110" s="13">
        <f t="shared" si="7"/>
        <v>3.4000000000000004</v>
      </c>
    </row>
    <row r="111" spans="1:7" x14ac:dyDescent="0.4">
      <c r="A111" s="11" t="s">
        <v>229</v>
      </c>
      <c r="B111" s="12" t="s">
        <v>230</v>
      </c>
      <c r="C111" s="12" t="s">
        <v>211</v>
      </c>
      <c r="D111" s="12">
        <v>100</v>
      </c>
      <c r="E111" s="12">
        <v>34</v>
      </c>
      <c r="F111" s="12">
        <f t="shared" si="6"/>
        <v>3.4000000000000002E-2</v>
      </c>
      <c r="G111" s="13">
        <f t="shared" si="7"/>
        <v>3.4000000000000004</v>
      </c>
    </row>
    <row r="112" spans="1:7" x14ac:dyDescent="0.4">
      <c r="A112" s="11" t="s">
        <v>231</v>
      </c>
      <c r="B112" s="12" t="s">
        <v>232</v>
      </c>
      <c r="C112" s="12" t="s">
        <v>211</v>
      </c>
      <c r="D112" s="12">
        <v>100</v>
      </c>
      <c r="E112" s="12">
        <v>34</v>
      </c>
      <c r="F112" s="12">
        <f t="shared" si="6"/>
        <v>3.4000000000000002E-2</v>
      </c>
      <c r="G112" s="13">
        <f t="shared" si="7"/>
        <v>3.4000000000000004</v>
      </c>
    </row>
    <row r="113" spans="1:7" x14ac:dyDescent="0.4">
      <c r="A113" s="11" t="s">
        <v>233</v>
      </c>
      <c r="B113" s="12" t="s">
        <v>234</v>
      </c>
      <c r="C113" s="12" t="s">
        <v>211</v>
      </c>
      <c r="D113" s="12">
        <v>100</v>
      </c>
      <c r="E113" s="12">
        <v>41</v>
      </c>
      <c r="F113" s="12">
        <f t="shared" si="6"/>
        <v>4.1000000000000002E-2</v>
      </c>
      <c r="G113" s="13">
        <f t="shared" si="7"/>
        <v>4.1000000000000005</v>
      </c>
    </row>
    <row r="114" spans="1:7" x14ac:dyDescent="0.4">
      <c r="A114" s="11" t="s">
        <v>236</v>
      </c>
      <c r="B114" s="12" t="s">
        <v>237</v>
      </c>
      <c r="C114" s="12" t="s">
        <v>211</v>
      </c>
      <c r="D114" s="12">
        <v>100</v>
      </c>
      <c r="E114" s="12">
        <v>41</v>
      </c>
      <c r="F114" s="12">
        <f t="shared" si="6"/>
        <v>4.1000000000000002E-2</v>
      </c>
      <c r="G114" s="13">
        <f t="shared" si="7"/>
        <v>4.1000000000000005</v>
      </c>
    </row>
    <row r="115" spans="1:7" x14ac:dyDescent="0.4">
      <c r="A115" s="11" t="s">
        <v>239</v>
      </c>
      <c r="B115" s="12" t="s">
        <v>240</v>
      </c>
      <c r="C115" s="12" t="s">
        <v>211</v>
      </c>
      <c r="D115" s="12">
        <v>100</v>
      </c>
      <c r="E115" s="12">
        <v>41</v>
      </c>
      <c r="F115" s="12">
        <f t="shared" si="6"/>
        <v>4.1000000000000002E-2</v>
      </c>
      <c r="G115" s="13">
        <f t="shared" si="7"/>
        <v>4.1000000000000005</v>
      </c>
    </row>
    <row r="116" spans="1:7" x14ac:dyDescent="0.4">
      <c r="A116" s="11" t="s">
        <v>242</v>
      </c>
      <c r="B116" s="12" t="s">
        <v>243</v>
      </c>
      <c r="C116" s="12" t="s">
        <v>211</v>
      </c>
      <c r="D116" s="12">
        <v>100</v>
      </c>
      <c r="E116" s="12">
        <v>41</v>
      </c>
      <c r="F116" s="12">
        <f t="shared" si="6"/>
        <v>4.1000000000000002E-2</v>
      </c>
      <c r="G116" s="13">
        <f t="shared" si="7"/>
        <v>4.1000000000000005</v>
      </c>
    </row>
    <row r="117" spans="1:7" x14ac:dyDescent="0.4">
      <c r="A117" s="11" t="s">
        <v>244</v>
      </c>
      <c r="B117" s="12" t="s">
        <v>245</v>
      </c>
      <c r="C117" s="12" t="s">
        <v>211</v>
      </c>
      <c r="D117" s="12">
        <v>100</v>
      </c>
      <c r="E117" s="12">
        <v>46</v>
      </c>
      <c r="F117" s="12">
        <f t="shared" si="6"/>
        <v>4.5999999999999999E-2</v>
      </c>
      <c r="G117" s="13">
        <f t="shared" si="7"/>
        <v>4.5999999999999996</v>
      </c>
    </row>
    <row r="118" spans="1:7" x14ac:dyDescent="0.4">
      <c r="A118" s="11" t="s">
        <v>246</v>
      </c>
      <c r="B118" s="12" t="s">
        <v>247</v>
      </c>
      <c r="C118" s="12" t="s">
        <v>211</v>
      </c>
      <c r="D118" s="12">
        <v>100</v>
      </c>
      <c r="E118" s="12">
        <v>46</v>
      </c>
      <c r="F118" s="12">
        <f t="shared" si="6"/>
        <v>4.5999999999999999E-2</v>
      </c>
      <c r="G118" s="13">
        <f t="shared" si="7"/>
        <v>4.5999999999999996</v>
      </c>
    </row>
    <row r="119" spans="1:7" x14ac:dyDescent="0.4">
      <c r="A119" s="11" t="s">
        <v>248</v>
      </c>
      <c r="B119" s="12" t="s">
        <v>249</v>
      </c>
      <c r="C119" s="12" t="s">
        <v>211</v>
      </c>
      <c r="D119" s="12">
        <v>100</v>
      </c>
      <c r="E119" s="12">
        <v>46</v>
      </c>
      <c r="F119" s="12">
        <f t="shared" si="6"/>
        <v>4.5999999999999999E-2</v>
      </c>
      <c r="G119" s="13">
        <f t="shared" si="7"/>
        <v>4.5999999999999996</v>
      </c>
    </row>
    <row r="120" spans="1:7" ht="18.350000000000001" thickBot="1" x14ac:dyDescent="0.45">
      <c r="A120" s="31" t="s">
        <v>250</v>
      </c>
      <c r="B120" s="27" t="s">
        <v>251</v>
      </c>
      <c r="C120" s="27" t="s">
        <v>211</v>
      </c>
      <c r="D120" s="27">
        <v>100</v>
      </c>
      <c r="E120" s="27">
        <v>46</v>
      </c>
      <c r="F120" s="27">
        <f t="shared" si="6"/>
        <v>4.5999999999999999E-2</v>
      </c>
      <c r="G120" s="28">
        <f t="shared" si="7"/>
        <v>4.5999999999999996</v>
      </c>
    </row>
    <row r="121" spans="1:7" x14ac:dyDescent="0.4">
      <c r="A121" s="40" t="s">
        <v>252</v>
      </c>
      <c r="B121" s="10" t="s">
        <v>253</v>
      </c>
      <c r="C121" s="10" t="s">
        <v>254</v>
      </c>
      <c r="D121" s="10">
        <v>60</v>
      </c>
      <c r="E121" s="10">
        <v>523</v>
      </c>
      <c r="F121" s="10">
        <f>+E121/1000</f>
        <v>0.52300000000000002</v>
      </c>
      <c r="G121" s="41">
        <f>IF(F121="","",D121*F121)</f>
        <v>31.380000000000003</v>
      </c>
    </row>
    <row r="122" spans="1:7" x14ac:dyDescent="0.4">
      <c r="A122" s="11" t="s">
        <v>228</v>
      </c>
      <c r="B122" s="12" t="s">
        <v>255</v>
      </c>
      <c r="C122" s="12" t="s">
        <v>256</v>
      </c>
      <c r="D122" s="12">
        <f>6*10</f>
        <v>60</v>
      </c>
      <c r="E122" s="12">
        <v>523</v>
      </c>
      <c r="F122" s="12">
        <f t="shared" ref="F122:F134" si="8">+E122/1000</f>
        <v>0.52300000000000002</v>
      </c>
      <c r="G122" s="13">
        <f t="shared" ref="G122:G134" si="9">IF(F122="","",D122*F122)</f>
        <v>31.380000000000003</v>
      </c>
    </row>
    <row r="123" spans="1:7" x14ac:dyDescent="0.4">
      <c r="A123" s="11" t="s">
        <v>257</v>
      </c>
      <c r="B123" s="12" t="s">
        <v>258</v>
      </c>
      <c r="C123" s="12" t="s">
        <v>256</v>
      </c>
      <c r="D123" s="12">
        <v>60</v>
      </c>
      <c r="E123" s="12">
        <v>523</v>
      </c>
      <c r="F123" s="12">
        <f t="shared" si="8"/>
        <v>0.52300000000000002</v>
      </c>
      <c r="G123" s="13">
        <f t="shared" si="9"/>
        <v>31.380000000000003</v>
      </c>
    </row>
    <row r="124" spans="1:7" x14ac:dyDescent="0.4">
      <c r="A124" s="11" t="s">
        <v>259</v>
      </c>
      <c r="B124" s="12" t="s">
        <v>258</v>
      </c>
      <c r="C124" s="12" t="s">
        <v>254</v>
      </c>
      <c r="D124" s="12">
        <v>60</v>
      </c>
      <c r="E124" s="12">
        <v>523</v>
      </c>
      <c r="F124" s="12">
        <f t="shared" si="8"/>
        <v>0.52300000000000002</v>
      </c>
      <c r="G124" s="13">
        <f t="shared" si="9"/>
        <v>31.380000000000003</v>
      </c>
    </row>
    <row r="125" spans="1:7" x14ac:dyDescent="0.4">
      <c r="A125" s="11" t="s">
        <v>260</v>
      </c>
      <c r="B125" s="12" t="s">
        <v>261</v>
      </c>
      <c r="C125" s="12" t="s">
        <v>256</v>
      </c>
      <c r="D125" s="12">
        <v>60</v>
      </c>
      <c r="E125" s="12">
        <v>559</v>
      </c>
      <c r="F125" s="12">
        <f t="shared" si="8"/>
        <v>0.55900000000000005</v>
      </c>
      <c r="G125" s="13">
        <f t="shared" si="9"/>
        <v>33.540000000000006</v>
      </c>
    </row>
    <row r="126" spans="1:7" x14ac:dyDescent="0.4">
      <c r="A126" s="11" t="s">
        <v>262</v>
      </c>
      <c r="B126" s="12" t="s">
        <v>261</v>
      </c>
      <c r="C126" s="12" t="s">
        <v>254</v>
      </c>
      <c r="D126" s="12">
        <v>60</v>
      </c>
      <c r="E126" s="12">
        <v>559</v>
      </c>
      <c r="F126" s="12">
        <f t="shared" si="8"/>
        <v>0.55900000000000005</v>
      </c>
      <c r="G126" s="13">
        <f t="shared" si="9"/>
        <v>33.540000000000006</v>
      </c>
    </row>
    <row r="127" spans="1:7" x14ac:dyDescent="0.4">
      <c r="A127" s="11" t="s">
        <v>235</v>
      </c>
      <c r="B127" s="12" t="s">
        <v>263</v>
      </c>
      <c r="C127" s="12" t="s">
        <v>254</v>
      </c>
      <c r="D127" s="12">
        <v>24</v>
      </c>
      <c r="E127" s="12">
        <v>893</v>
      </c>
      <c r="F127" s="12">
        <f t="shared" si="8"/>
        <v>0.89300000000000002</v>
      </c>
      <c r="G127" s="13">
        <f t="shared" si="9"/>
        <v>21.432000000000002</v>
      </c>
    </row>
    <row r="128" spans="1:7" x14ac:dyDescent="0.4">
      <c r="A128" s="11" t="s">
        <v>264</v>
      </c>
      <c r="B128" s="12" t="s">
        <v>263</v>
      </c>
      <c r="C128" s="12" t="s">
        <v>254</v>
      </c>
      <c r="D128" s="12">
        <v>24</v>
      </c>
      <c r="E128" s="12">
        <v>893</v>
      </c>
      <c r="F128" s="12">
        <f t="shared" si="8"/>
        <v>0.89300000000000002</v>
      </c>
      <c r="G128" s="13">
        <f t="shared" si="9"/>
        <v>21.432000000000002</v>
      </c>
    </row>
    <row r="129" spans="1:7" x14ac:dyDescent="0.4">
      <c r="A129" s="11" t="s">
        <v>238</v>
      </c>
      <c r="B129" s="12" t="s">
        <v>265</v>
      </c>
      <c r="C129" s="12" t="s">
        <v>254</v>
      </c>
      <c r="D129" s="12">
        <v>24</v>
      </c>
      <c r="E129" s="12">
        <v>920</v>
      </c>
      <c r="F129" s="12">
        <f t="shared" si="8"/>
        <v>0.92</v>
      </c>
      <c r="G129" s="13">
        <f t="shared" si="9"/>
        <v>22.080000000000002</v>
      </c>
    </row>
    <row r="130" spans="1:7" x14ac:dyDescent="0.4">
      <c r="A130" s="11" t="s">
        <v>266</v>
      </c>
      <c r="B130" s="12" t="s">
        <v>265</v>
      </c>
      <c r="C130" s="12" t="s">
        <v>254</v>
      </c>
      <c r="D130" s="12">
        <v>24</v>
      </c>
      <c r="E130" s="12">
        <v>920</v>
      </c>
      <c r="F130" s="12">
        <f t="shared" si="8"/>
        <v>0.92</v>
      </c>
      <c r="G130" s="13">
        <f t="shared" si="9"/>
        <v>22.080000000000002</v>
      </c>
    </row>
    <row r="131" spans="1:7" x14ac:dyDescent="0.4">
      <c r="A131" s="11" t="s">
        <v>267</v>
      </c>
      <c r="B131" s="12" t="s">
        <v>268</v>
      </c>
      <c r="C131" s="12" t="s">
        <v>254</v>
      </c>
      <c r="D131" s="12">
        <v>18</v>
      </c>
      <c r="E131" s="12">
        <v>1480</v>
      </c>
      <c r="F131" s="12">
        <f t="shared" si="8"/>
        <v>1.48</v>
      </c>
      <c r="G131" s="13">
        <f t="shared" si="9"/>
        <v>26.64</v>
      </c>
    </row>
    <row r="132" spans="1:7" x14ac:dyDescent="0.4">
      <c r="A132" s="11" t="s">
        <v>241</v>
      </c>
      <c r="B132" s="12" t="s">
        <v>269</v>
      </c>
      <c r="C132" s="12" t="s">
        <v>254</v>
      </c>
      <c r="D132" s="12">
        <v>18</v>
      </c>
      <c r="E132" s="12">
        <v>1480</v>
      </c>
      <c r="F132" s="12">
        <f t="shared" si="8"/>
        <v>1.48</v>
      </c>
      <c r="G132" s="13">
        <f t="shared" si="9"/>
        <v>26.64</v>
      </c>
    </row>
    <row r="133" spans="1:7" x14ac:dyDescent="0.4">
      <c r="A133" s="11" t="s">
        <v>270</v>
      </c>
      <c r="B133" s="12" t="s">
        <v>271</v>
      </c>
      <c r="C133" s="12" t="s">
        <v>256</v>
      </c>
      <c r="D133" s="12">
        <v>18</v>
      </c>
      <c r="E133" s="12">
        <v>1490</v>
      </c>
      <c r="F133" s="12">
        <f t="shared" si="8"/>
        <v>1.49</v>
      </c>
      <c r="G133" s="13">
        <f t="shared" si="9"/>
        <v>26.82</v>
      </c>
    </row>
    <row r="134" spans="1:7" ht="18.350000000000001" thickBot="1" x14ac:dyDescent="0.45">
      <c r="A134" s="31" t="s">
        <v>272</v>
      </c>
      <c r="B134" s="27" t="s">
        <v>271</v>
      </c>
      <c r="C134" s="27" t="s">
        <v>254</v>
      </c>
      <c r="D134" s="27">
        <v>18</v>
      </c>
      <c r="E134" s="27">
        <v>1490</v>
      </c>
      <c r="F134" s="27">
        <f t="shared" si="8"/>
        <v>1.49</v>
      </c>
      <c r="G134" s="28">
        <f t="shared" si="9"/>
        <v>26.82</v>
      </c>
    </row>
    <row r="135" spans="1:7" x14ac:dyDescent="0.4">
      <c r="A135" s="43" t="s">
        <v>273</v>
      </c>
      <c r="B135" s="44" t="s">
        <v>274</v>
      </c>
      <c r="C135" s="8" t="s">
        <v>275</v>
      </c>
      <c r="D135" s="8">
        <v>36</v>
      </c>
      <c r="E135" s="8">
        <v>1820</v>
      </c>
      <c r="F135" s="8">
        <f t="shared" ref="F135:F156" si="10">+E135/1000</f>
        <v>1.82</v>
      </c>
      <c r="G135" s="36">
        <f>IF(F135="","",D135*F135)</f>
        <v>65.52</v>
      </c>
    </row>
    <row r="136" spans="1:7" x14ac:dyDescent="0.4">
      <c r="A136" s="45" t="s">
        <v>276</v>
      </c>
      <c r="B136" s="46" t="s">
        <v>277</v>
      </c>
      <c r="C136" s="12" t="s">
        <v>278</v>
      </c>
      <c r="D136" s="12">
        <v>40</v>
      </c>
      <c r="E136" s="12">
        <v>1820</v>
      </c>
      <c r="F136" s="12">
        <f t="shared" si="10"/>
        <v>1.82</v>
      </c>
      <c r="G136" s="37">
        <f t="shared" ref="G136:G156" si="11">IF(F136="","",D136*F136)</f>
        <v>72.8</v>
      </c>
    </row>
    <row r="137" spans="1:7" x14ac:dyDescent="0.4">
      <c r="A137" s="45" t="s">
        <v>279</v>
      </c>
      <c r="B137" s="46" t="s">
        <v>280</v>
      </c>
      <c r="C137" s="12" t="s">
        <v>278</v>
      </c>
      <c r="D137" s="12">
        <v>40</v>
      </c>
      <c r="E137" s="12">
        <v>2110</v>
      </c>
      <c r="F137" s="12">
        <f t="shared" si="10"/>
        <v>2.11</v>
      </c>
      <c r="G137" s="37">
        <f t="shared" si="11"/>
        <v>84.399999999999991</v>
      </c>
    </row>
    <row r="138" spans="1:7" x14ac:dyDescent="0.4">
      <c r="A138" s="45" t="s">
        <v>281</v>
      </c>
      <c r="B138" s="46" t="s">
        <v>282</v>
      </c>
      <c r="C138" s="12" t="s">
        <v>278</v>
      </c>
      <c r="D138" s="12">
        <v>40</v>
      </c>
      <c r="E138" s="12">
        <v>1980</v>
      </c>
      <c r="F138" s="12">
        <f t="shared" si="10"/>
        <v>1.98</v>
      </c>
      <c r="G138" s="37">
        <f t="shared" si="11"/>
        <v>79.2</v>
      </c>
    </row>
    <row r="139" spans="1:7" x14ac:dyDescent="0.4">
      <c r="A139" s="45" t="s">
        <v>283</v>
      </c>
      <c r="B139" s="46" t="s">
        <v>284</v>
      </c>
      <c r="C139" s="12" t="s">
        <v>278</v>
      </c>
      <c r="D139" s="12">
        <v>40</v>
      </c>
      <c r="E139" s="12">
        <v>1980</v>
      </c>
      <c r="F139" s="12">
        <f t="shared" si="10"/>
        <v>1.98</v>
      </c>
      <c r="G139" s="37">
        <f t="shared" si="11"/>
        <v>79.2</v>
      </c>
    </row>
    <row r="140" spans="1:7" x14ac:dyDescent="0.4">
      <c r="A140" s="45" t="s">
        <v>285</v>
      </c>
      <c r="B140" s="46" t="s">
        <v>286</v>
      </c>
      <c r="C140" s="12" t="s">
        <v>278</v>
      </c>
      <c r="D140" s="12">
        <v>40</v>
      </c>
      <c r="E140" s="12">
        <v>1770</v>
      </c>
      <c r="F140" s="12">
        <f t="shared" si="10"/>
        <v>1.77</v>
      </c>
      <c r="G140" s="37">
        <f t="shared" si="11"/>
        <v>70.8</v>
      </c>
    </row>
    <row r="141" spans="1:7" x14ac:dyDescent="0.4">
      <c r="A141" s="45" t="s">
        <v>287</v>
      </c>
      <c r="B141" s="46" t="s">
        <v>288</v>
      </c>
      <c r="C141" s="12" t="s">
        <v>278</v>
      </c>
      <c r="D141" s="12">
        <v>40</v>
      </c>
      <c r="E141" s="12">
        <v>2110</v>
      </c>
      <c r="F141" s="12">
        <f t="shared" si="10"/>
        <v>2.11</v>
      </c>
      <c r="G141" s="37">
        <f t="shared" si="11"/>
        <v>84.399999999999991</v>
      </c>
    </row>
    <row r="142" spans="1:7" x14ac:dyDescent="0.4">
      <c r="A142" s="45" t="s">
        <v>289</v>
      </c>
      <c r="B142" s="46" t="s">
        <v>290</v>
      </c>
      <c r="C142" s="12" t="s">
        <v>278</v>
      </c>
      <c r="D142" s="12">
        <v>40</v>
      </c>
      <c r="E142" s="12">
        <v>2220</v>
      </c>
      <c r="F142" s="12">
        <f t="shared" si="10"/>
        <v>2.2200000000000002</v>
      </c>
      <c r="G142" s="37">
        <f t="shared" si="11"/>
        <v>88.800000000000011</v>
      </c>
    </row>
    <row r="143" spans="1:7" ht="18.350000000000001" thickBot="1" x14ac:dyDescent="0.45">
      <c r="A143" s="47" t="s">
        <v>291</v>
      </c>
      <c r="B143" s="48" t="s">
        <v>292</v>
      </c>
      <c r="C143" s="27" t="s">
        <v>278</v>
      </c>
      <c r="D143" s="27">
        <v>40</v>
      </c>
      <c r="E143" s="27">
        <v>2110</v>
      </c>
      <c r="F143" s="27">
        <f t="shared" si="10"/>
        <v>2.11</v>
      </c>
      <c r="G143" s="39">
        <f t="shared" si="11"/>
        <v>84.399999999999991</v>
      </c>
    </row>
    <row r="144" spans="1:7" x14ac:dyDescent="0.4">
      <c r="A144" s="43" t="s">
        <v>293</v>
      </c>
      <c r="B144" s="44" t="s">
        <v>294</v>
      </c>
      <c r="C144" s="8" t="s">
        <v>278</v>
      </c>
      <c r="D144" s="8">
        <v>5</v>
      </c>
      <c r="E144" s="8">
        <v>2600</v>
      </c>
      <c r="F144" s="8">
        <f t="shared" si="10"/>
        <v>2.6</v>
      </c>
      <c r="G144" s="36">
        <f t="shared" si="11"/>
        <v>13</v>
      </c>
    </row>
    <row r="145" spans="1:7" x14ac:dyDescent="0.4">
      <c r="A145" s="45" t="s">
        <v>295</v>
      </c>
      <c r="B145" s="46" t="s">
        <v>296</v>
      </c>
      <c r="C145" s="12" t="s">
        <v>278</v>
      </c>
      <c r="D145" s="12">
        <v>40</v>
      </c>
      <c r="E145" s="12">
        <v>1090</v>
      </c>
      <c r="F145" s="12">
        <f t="shared" si="10"/>
        <v>1.0900000000000001</v>
      </c>
      <c r="G145" s="37">
        <f t="shared" si="11"/>
        <v>43.6</v>
      </c>
    </row>
    <row r="146" spans="1:7" x14ac:dyDescent="0.4">
      <c r="A146" s="45" t="s">
        <v>297</v>
      </c>
      <c r="B146" s="46" t="s">
        <v>298</v>
      </c>
      <c r="C146" s="12" t="s">
        <v>278</v>
      </c>
      <c r="D146" s="12">
        <v>40</v>
      </c>
      <c r="E146" s="12">
        <v>1170</v>
      </c>
      <c r="F146" s="12">
        <f t="shared" si="10"/>
        <v>1.17</v>
      </c>
      <c r="G146" s="37">
        <f t="shared" si="11"/>
        <v>46.8</v>
      </c>
    </row>
    <row r="147" spans="1:7" x14ac:dyDescent="0.4">
      <c r="A147" s="11" t="s">
        <v>299</v>
      </c>
      <c r="B147" s="12"/>
      <c r="C147" s="12" t="s">
        <v>278</v>
      </c>
      <c r="D147" s="12">
        <v>40</v>
      </c>
      <c r="E147" s="12">
        <v>1490</v>
      </c>
      <c r="F147" s="12">
        <f t="shared" si="10"/>
        <v>1.49</v>
      </c>
      <c r="G147" s="37">
        <f t="shared" si="11"/>
        <v>59.6</v>
      </c>
    </row>
    <row r="148" spans="1:7" x14ac:dyDescent="0.4">
      <c r="A148" s="45" t="s">
        <v>300</v>
      </c>
      <c r="B148" s="46" t="s">
        <v>301</v>
      </c>
      <c r="C148" s="12" t="s">
        <v>278</v>
      </c>
      <c r="D148" s="12">
        <v>40</v>
      </c>
      <c r="E148" s="12">
        <v>1490</v>
      </c>
      <c r="F148" s="12">
        <f t="shared" si="10"/>
        <v>1.49</v>
      </c>
      <c r="G148" s="37">
        <f t="shared" si="11"/>
        <v>59.6</v>
      </c>
    </row>
    <row r="149" spans="1:7" x14ac:dyDescent="0.4">
      <c r="A149" s="45" t="s">
        <v>302</v>
      </c>
      <c r="B149" s="46" t="s">
        <v>303</v>
      </c>
      <c r="C149" s="12" t="s">
        <v>278</v>
      </c>
      <c r="D149" s="12">
        <v>40</v>
      </c>
      <c r="E149" s="12">
        <v>1470</v>
      </c>
      <c r="F149" s="12">
        <f t="shared" si="10"/>
        <v>1.47</v>
      </c>
      <c r="G149" s="37">
        <f t="shared" si="11"/>
        <v>58.8</v>
      </c>
    </row>
    <row r="150" spans="1:7" x14ac:dyDescent="0.4">
      <c r="A150" s="45" t="s">
        <v>304</v>
      </c>
      <c r="B150" s="46" t="s">
        <v>305</v>
      </c>
      <c r="C150" s="12" t="s">
        <v>278</v>
      </c>
      <c r="D150" s="12">
        <v>40</v>
      </c>
      <c r="E150" s="12">
        <v>1200</v>
      </c>
      <c r="F150" s="12">
        <f t="shared" si="10"/>
        <v>1.2</v>
      </c>
      <c r="G150" s="37">
        <f t="shared" si="11"/>
        <v>48</v>
      </c>
    </row>
    <row r="151" spans="1:7" ht="18.350000000000001" thickBot="1" x14ac:dyDescent="0.45">
      <c r="A151" s="49" t="s">
        <v>306</v>
      </c>
      <c r="B151" s="50" t="s">
        <v>307</v>
      </c>
      <c r="C151" s="30" t="s">
        <v>278</v>
      </c>
      <c r="D151" s="30">
        <v>40</v>
      </c>
      <c r="E151" s="30">
        <v>2100</v>
      </c>
      <c r="F151" s="30">
        <f t="shared" si="10"/>
        <v>2.1</v>
      </c>
      <c r="G151" s="38">
        <f t="shared" si="11"/>
        <v>84</v>
      </c>
    </row>
    <row r="152" spans="1:7" ht="18.350000000000001" thickBot="1" x14ac:dyDescent="0.45">
      <c r="A152" s="51" t="s">
        <v>308</v>
      </c>
      <c r="B152" s="52" t="s">
        <v>309</v>
      </c>
      <c r="C152" s="42" t="s">
        <v>278</v>
      </c>
      <c r="D152" s="42">
        <v>40</v>
      </c>
      <c r="E152" s="42">
        <v>2600</v>
      </c>
      <c r="F152" s="42">
        <f t="shared" si="10"/>
        <v>2.6</v>
      </c>
      <c r="G152" s="53">
        <f t="shared" si="11"/>
        <v>104</v>
      </c>
    </row>
    <row r="153" spans="1:7" ht="18.350000000000001" thickBot="1" x14ac:dyDescent="0.45">
      <c r="A153" s="54" t="s">
        <v>310</v>
      </c>
      <c r="B153" s="55" t="s">
        <v>311</v>
      </c>
      <c r="C153" s="55"/>
      <c r="D153" s="55"/>
      <c r="E153" s="55"/>
      <c r="F153" s="55">
        <f t="shared" si="10"/>
        <v>0</v>
      </c>
      <c r="G153" s="56">
        <f t="shared" si="11"/>
        <v>0</v>
      </c>
    </row>
    <row r="154" spans="1:7" x14ac:dyDescent="0.4">
      <c r="A154" s="43" t="s">
        <v>312</v>
      </c>
      <c r="B154" s="44" t="s">
        <v>313</v>
      </c>
      <c r="C154" s="8" t="s">
        <v>314</v>
      </c>
      <c r="D154" s="8">
        <v>100</v>
      </c>
      <c r="E154" s="8">
        <v>3600</v>
      </c>
      <c r="F154" s="8">
        <f t="shared" si="10"/>
        <v>3.6</v>
      </c>
      <c r="G154" s="9">
        <f t="shared" si="11"/>
        <v>360</v>
      </c>
    </row>
    <row r="155" spans="1:7" x14ac:dyDescent="0.4">
      <c r="A155" s="45" t="s">
        <v>315</v>
      </c>
      <c r="B155" s="46" t="s">
        <v>316</v>
      </c>
      <c r="C155" s="12" t="s">
        <v>317</v>
      </c>
      <c r="D155" s="12">
        <v>100</v>
      </c>
      <c r="E155" s="12">
        <v>3600</v>
      </c>
      <c r="F155" s="12">
        <f t="shared" si="10"/>
        <v>3.6</v>
      </c>
      <c r="G155" s="13">
        <f t="shared" si="11"/>
        <v>360</v>
      </c>
    </row>
    <row r="156" spans="1:7" ht="18.350000000000001" thickBot="1" x14ac:dyDescent="0.45">
      <c r="A156" s="47" t="s">
        <v>318</v>
      </c>
      <c r="B156" s="48" t="s">
        <v>307</v>
      </c>
      <c r="C156" s="27" t="s">
        <v>317</v>
      </c>
      <c r="D156" s="27">
        <v>50</v>
      </c>
      <c r="E156" s="27">
        <v>3600</v>
      </c>
      <c r="F156" s="27">
        <f t="shared" si="10"/>
        <v>3.6</v>
      </c>
      <c r="G156" s="28">
        <f t="shared" si="11"/>
        <v>180</v>
      </c>
    </row>
    <row r="157" spans="1:7" x14ac:dyDescent="0.4">
      <c r="A157" s="7" t="s">
        <v>319</v>
      </c>
      <c r="B157" s="8" t="s">
        <v>320</v>
      </c>
      <c r="C157" s="8" t="s">
        <v>321</v>
      </c>
      <c r="D157" s="8"/>
      <c r="E157" s="36"/>
    </row>
    <row r="158" spans="1:7" x14ac:dyDescent="0.4">
      <c r="A158" s="11" t="s">
        <v>322</v>
      </c>
      <c r="B158" s="12" t="s">
        <v>323</v>
      </c>
      <c r="C158" s="12" t="s">
        <v>321</v>
      </c>
      <c r="D158" s="12"/>
      <c r="E158" s="37"/>
    </row>
    <row r="159" spans="1:7" ht="18.350000000000001" thickBot="1" x14ac:dyDescent="0.45">
      <c r="A159" s="31" t="s">
        <v>324</v>
      </c>
      <c r="B159" s="27" t="s">
        <v>325</v>
      </c>
      <c r="C159" s="27" t="s">
        <v>321</v>
      </c>
      <c r="D159" s="27"/>
      <c r="E159" s="39"/>
    </row>
    <row r="160" spans="1:7" ht="18.350000000000001" thickBot="1" x14ac:dyDescent="0.45">
      <c r="A160" s="12" t="s">
        <v>326</v>
      </c>
      <c r="B160" s="12" t="s">
        <v>327</v>
      </c>
    </row>
    <row r="161" spans="1:7" x14ac:dyDescent="0.4">
      <c r="A161" s="7" t="s">
        <v>328</v>
      </c>
      <c r="B161" s="8" t="s">
        <v>329</v>
      </c>
      <c r="C161" s="8" t="s">
        <v>330</v>
      </c>
      <c r="D161" s="8">
        <v>50</v>
      </c>
      <c r="E161" s="8">
        <v>800</v>
      </c>
      <c r="F161" s="8">
        <f t="shared" ref="F161:F176" si="12">+E161/1000</f>
        <v>0.8</v>
      </c>
      <c r="G161" s="9">
        <f>IF(F161="","",D161*F161)</f>
        <v>40</v>
      </c>
    </row>
    <row r="162" spans="1:7" x14ac:dyDescent="0.4">
      <c r="A162" s="11" t="s">
        <v>331</v>
      </c>
      <c r="B162" s="12" t="s">
        <v>332</v>
      </c>
      <c r="C162" s="12" t="s">
        <v>330</v>
      </c>
      <c r="D162" s="12">
        <v>50</v>
      </c>
      <c r="E162" s="12">
        <v>800</v>
      </c>
      <c r="F162" s="12">
        <f t="shared" si="12"/>
        <v>0.8</v>
      </c>
      <c r="G162" s="13">
        <f t="shared" ref="G162:G176" si="13">IF(F162="","",D162*F162)</f>
        <v>40</v>
      </c>
    </row>
    <row r="163" spans="1:7" x14ac:dyDescent="0.4">
      <c r="A163" s="11" t="s">
        <v>333</v>
      </c>
      <c r="B163" s="12" t="s">
        <v>334</v>
      </c>
      <c r="C163" s="12" t="s">
        <v>330</v>
      </c>
      <c r="D163" s="12">
        <v>50</v>
      </c>
      <c r="E163" s="12">
        <v>800</v>
      </c>
      <c r="F163" s="12">
        <f t="shared" si="12"/>
        <v>0.8</v>
      </c>
      <c r="G163" s="13">
        <f t="shared" si="13"/>
        <v>40</v>
      </c>
    </row>
    <row r="164" spans="1:7" x14ac:dyDescent="0.4">
      <c r="A164" s="11" t="s">
        <v>335</v>
      </c>
      <c r="B164" s="12" t="s">
        <v>336</v>
      </c>
      <c r="C164" s="12" t="s">
        <v>330</v>
      </c>
      <c r="D164" s="12">
        <v>50</v>
      </c>
      <c r="E164" s="12">
        <v>800</v>
      </c>
      <c r="F164" s="12">
        <f t="shared" si="12"/>
        <v>0.8</v>
      </c>
      <c r="G164" s="13">
        <f t="shared" si="13"/>
        <v>40</v>
      </c>
    </row>
    <row r="165" spans="1:7" x14ac:dyDescent="0.4">
      <c r="A165" s="11" t="s">
        <v>337</v>
      </c>
      <c r="B165" s="12" t="s">
        <v>338</v>
      </c>
      <c r="C165" s="12" t="s">
        <v>330</v>
      </c>
      <c r="D165" s="12">
        <v>50</v>
      </c>
      <c r="E165" s="12">
        <v>1500</v>
      </c>
      <c r="F165" s="12">
        <f t="shared" si="12"/>
        <v>1.5</v>
      </c>
      <c r="G165" s="13">
        <f t="shared" si="13"/>
        <v>75</v>
      </c>
    </row>
    <row r="166" spans="1:7" x14ac:dyDescent="0.4">
      <c r="A166" s="11" t="s">
        <v>339</v>
      </c>
      <c r="B166" s="12" t="s">
        <v>340</v>
      </c>
      <c r="C166" s="12" t="s">
        <v>330</v>
      </c>
      <c r="D166" s="12">
        <v>50</v>
      </c>
      <c r="E166" s="12">
        <v>1500</v>
      </c>
      <c r="F166" s="12">
        <f t="shared" si="12"/>
        <v>1.5</v>
      </c>
      <c r="G166" s="13">
        <f t="shared" si="13"/>
        <v>75</v>
      </c>
    </row>
    <row r="167" spans="1:7" x14ac:dyDescent="0.4">
      <c r="A167" s="11" t="s">
        <v>341</v>
      </c>
      <c r="B167" s="12" t="s">
        <v>342</v>
      </c>
      <c r="C167" s="12" t="s">
        <v>330</v>
      </c>
      <c r="D167" s="12">
        <v>50</v>
      </c>
      <c r="E167" s="12">
        <v>1500</v>
      </c>
      <c r="F167" s="12">
        <f t="shared" si="12"/>
        <v>1.5</v>
      </c>
      <c r="G167" s="13">
        <f t="shared" si="13"/>
        <v>75</v>
      </c>
    </row>
    <row r="168" spans="1:7" x14ac:dyDescent="0.4">
      <c r="A168" s="11" t="s">
        <v>343</v>
      </c>
      <c r="B168" s="12" t="s">
        <v>344</v>
      </c>
      <c r="C168" s="12" t="s">
        <v>330</v>
      </c>
      <c r="D168" s="12">
        <v>50</v>
      </c>
      <c r="E168" s="12">
        <v>1500</v>
      </c>
      <c r="F168" s="12">
        <f t="shared" si="12"/>
        <v>1.5</v>
      </c>
      <c r="G168" s="13">
        <f t="shared" si="13"/>
        <v>75</v>
      </c>
    </row>
    <row r="169" spans="1:7" x14ac:dyDescent="0.4">
      <c r="A169" s="11" t="s">
        <v>345</v>
      </c>
      <c r="B169" s="12" t="s">
        <v>346</v>
      </c>
      <c r="C169" s="12" t="s">
        <v>330</v>
      </c>
      <c r="D169" s="12">
        <v>30</v>
      </c>
      <c r="E169" s="12">
        <v>980</v>
      </c>
      <c r="F169" s="12">
        <f t="shared" si="12"/>
        <v>0.98</v>
      </c>
      <c r="G169" s="13">
        <f t="shared" si="13"/>
        <v>29.4</v>
      </c>
    </row>
    <row r="170" spans="1:7" x14ac:dyDescent="0.4">
      <c r="A170" s="11" t="s">
        <v>347</v>
      </c>
      <c r="B170" s="12" t="s">
        <v>348</v>
      </c>
      <c r="C170" s="12" t="s">
        <v>330</v>
      </c>
      <c r="D170" s="12">
        <v>30</v>
      </c>
      <c r="E170" s="12">
        <v>980</v>
      </c>
      <c r="F170" s="12">
        <f t="shared" si="12"/>
        <v>0.98</v>
      </c>
      <c r="G170" s="13">
        <f t="shared" si="13"/>
        <v>29.4</v>
      </c>
    </row>
    <row r="171" spans="1:7" x14ac:dyDescent="0.4">
      <c r="A171" s="11" t="s">
        <v>349</v>
      </c>
      <c r="B171" s="12" t="s">
        <v>350</v>
      </c>
      <c r="C171" s="12" t="s">
        <v>330</v>
      </c>
      <c r="D171" s="12">
        <v>30</v>
      </c>
      <c r="E171" s="12">
        <v>980</v>
      </c>
      <c r="F171" s="12">
        <f t="shared" si="12"/>
        <v>0.98</v>
      </c>
      <c r="G171" s="13">
        <f t="shared" si="13"/>
        <v>29.4</v>
      </c>
    </row>
    <row r="172" spans="1:7" x14ac:dyDescent="0.4">
      <c r="A172" s="11" t="s">
        <v>351</v>
      </c>
      <c r="B172" s="12" t="s">
        <v>352</v>
      </c>
      <c r="C172" s="12" t="s">
        <v>330</v>
      </c>
      <c r="D172" s="12">
        <v>30</v>
      </c>
      <c r="E172" s="12">
        <v>980</v>
      </c>
      <c r="F172" s="12">
        <f t="shared" si="12"/>
        <v>0.98</v>
      </c>
      <c r="G172" s="13">
        <f t="shared" si="13"/>
        <v>29.4</v>
      </c>
    </row>
    <row r="173" spans="1:7" x14ac:dyDescent="0.4">
      <c r="A173" s="11" t="s">
        <v>353</v>
      </c>
      <c r="B173" s="12" t="s">
        <v>354</v>
      </c>
      <c r="C173" s="12" t="s">
        <v>330</v>
      </c>
      <c r="D173" s="12">
        <v>30</v>
      </c>
      <c r="E173" s="12">
        <v>2100</v>
      </c>
      <c r="F173" s="12">
        <f t="shared" si="12"/>
        <v>2.1</v>
      </c>
      <c r="G173" s="13">
        <f t="shared" si="13"/>
        <v>63</v>
      </c>
    </row>
    <row r="174" spans="1:7" x14ac:dyDescent="0.4">
      <c r="A174" s="11" t="s">
        <v>355</v>
      </c>
      <c r="B174" s="12" t="s">
        <v>356</v>
      </c>
      <c r="C174" s="12" t="s">
        <v>330</v>
      </c>
      <c r="D174" s="12">
        <v>30</v>
      </c>
      <c r="E174" s="12">
        <v>2100</v>
      </c>
      <c r="F174" s="12">
        <f t="shared" si="12"/>
        <v>2.1</v>
      </c>
      <c r="G174" s="13">
        <f t="shared" si="13"/>
        <v>63</v>
      </c>
    </row>
    <row r="175" spans="1:7" x14ac:dyDescent="0.4">
      <c r="A175" s="11" t="s">
        <v>357</v>
      </c>
      <c r="B175" s="12" t="s">
        <v>358</v>
      </c>
      <c r="C175" s="12" t="s">
        <v>330</v>
      </c>
      <c r="D175" s="12">
        <v>30</v>
      </c>
      <c r="E175" s="12">
        <v>2100</v>
      </c>
      <c r="F175" s="12">
        <f t="shared" si="12"/>
        <v>2.1</v>
      </c>
      <c r="G175" s="13">
        <f t="shared" si="13"/>
        <v>63</v>
      </c>
    </row>
    <row r="176" spans="1:7" ht="18.350000000000001" thickBot="1" x14ac:dyDescent="0.45">
      <c r="A176" s="31" t="s">
        <v>359</v>
      </c>
      <c r="B176" s="27" t="s">
        <v>360</v>
      </c>
      <c r="C176" s="27" t="s">
        <v>330</v>
      </c>
      <c r="D176" s="27">
        <v>30</v>
      </c>
      <c r="E176" s="27">
        <v>2100</v>
      </c>
      <c r="F176" s="27">
        <f t="shared" si="12"/>
        <v>2.1</v>
      </c>
      <c r="G176" s="28">
        <f t="shared" si="13"/>
        <v>63</v>
      </c>
    </row>
  </sheetData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86670-2810-4173-9A71-68A9B4776198}">
  <dimension ref="A1:B2"/>
  <sheetViews>
    <sheetView tabSelected="1" workbookViewId="0">
      <selection activeCell="B4" sqref="B4"/>
    </sheetView>
  </sheetViews>
  <sheetFormatPr defaultRowHeight="17.7" x14ac:dyDescent="0.4"/>
  <cols>
    <col min="1" max="1" width="10.33203125" customWidth="1"/>
  </cols>
  <sheetData>
    <row r="1" spans="1:2" x14ac:dyDescent="0.4">
      <c r="A1" s="57" t="s">
        <v>364</v>
      </c>
      <c r="B1" s="57" t="s">
        <v>362</v>
      </c>
    </row>
    <row r="2" spans="1:2" x14ac:dyDescent="0.4">
      <c r="A2" s="12" t="s">
        <v>363</v>
      </c>
      <c r="B2" s="12">
        <v>40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製品マスター</vt:lpstr>
      <vt:lpstr>パレットマスター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力輝 森</dc:creator>
  <cp:lastModifiedBy>力輝 森</cp:lastModifiedBy>
  <dcterms:created xsi:type="dcterms:W3CDTF">2025-12-14T00:56:01Z</dcterms:created>
  <dcterms:modified xsi:type="dcterms:W3CDTF">2026-01-01T16:10:53Z</dcterms:modified>
</cp:coreProperties>
</file>